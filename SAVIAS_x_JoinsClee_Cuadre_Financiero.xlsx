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ámetros" sheetId="1" r:id="rId4"/>
    <sheet state="visible" name="Resumen Mensual" sheetId="2" r:id="rId5"/>
    <sheet state="visible" name="Ingresos Skool" sheetId="3" r:id="rId6"/>
    <sheet state="visible" name="Pauta Meta" sheetId="4" r:id="rId7"/>
    <sheet state="visible" name="Gastos Lina" sheetId="5" r:id="rId8"/>
    <sheet state="visible" name="Gastos JoinsClee" sheetId="6" r:id="rId9"/>
    <sheet state="visible" name="Liquidación" sheetId="7" r:id="rId10"/>
  </sheets>
  <definedNames/>
  <calcPr/>
  <extLst>
    <ext uri="GoogleSheetsCustomDataVersion2">
      <go:sheetsCustomData xmlns:go="http://customooxmlschemas.google.com/" r:id="rId11" roundtripDataChecksum="OErYFfutj+b3+POQ6Pn0TNeJ4hMj4GRA7YSCz48JoIU="/>
    </ext>
  </extLst>
</workbook>
</file>

<file path=xl/sharedStrings.xml><?xml version="1.0" encoding="utf-8"?>
<sst xmlns="http://schemas.openxmlformats.org/spreadsheetml/2006/main" count="309" uniqueCount="241">
  <si>
    <t>SAVIAS × JoinsClee — Cuadre Financiero</t>
  </si>
  <si>
    <t>Foco en la FOCA · Área Financiero · Inicio colaboración: 2 de febrero de 2026</t>
  </si>
  <si>
    <t>PARÁMETROS GLOBALES</t>
  </si>
  <si>
    <t>TRM (COP por 1 USD)</t>
  </si>
  <si>
    <t>TRM oficial del 8 de mayo de 2026 (Banco de la República). Modificá esta celda y todo el archivo se recalcula.</t>
  </si>
  <si>
    <t>Reparto de beneficios — Lina Toro</t>
  </si>
  <si>
    <t>70% para Lina Toro (SAVIAS)</t>
  </si>
  <si>
    <t>Reparto de beneficios — JoinsClee</t>
  </si>
  <si>
    <t>30% para JoinsClee (agencia)</t>
  </si>
  <si>
    <t>Verificación reparto = 100%</t>
  </si>
  <si>
    <t>LEYENDA DE CELDAS</t>
  </si>
  <si>
    <t>Texto azul + fondo amarillo</t>
  </si>
  <si>
    <t>INPUT EDITABLE</t>
  </si>
  <si>
    <t>Celdas que vos / Lina llenan manualmente (lo que llegó al banco, gastos reales, etc.)</t>
  </si>
  <si>
    <t>Texto negro</t>
  </si>
  <si>
    <t>FÓRMULA</t>
  </si>
  <si>
    <t>Cálculos automáticos. NO tocar.</t>
  </si>
  <si>
    <t>Texto verde</t>
  </si>
  <si>
    <t>LINK ENTRE HOJAS</t>
  </si>
  <si>
    <t>Pulla datos de otra hoja del libro.</t>
  </si>
  <si>
    <t>Verde fuerte</t>
  </si>
  <si>
    <t>TOTAL / SUBTOTAL</t>
  </si>
  <si>
    <t>Filas de cierre: ingresos totales, gastos totales, beneficio neto.</t>
  </si>
  <si>
    <t>HOJAS DEL LIBRO</t>
  </si>
  <si>
    <t>Parámetros</t>
  </si>
  <si>
    <t>Esta hoja. TRM y % de reparto.</t>
  </si>
  <si>
    <t>Resumen Mensual</t>
  </si>
  <si>
    <t>Ingresos − Gastos = Beneficio. Vista de pájaro mes a mes con liquidación.</t>
  </si>
  <si>
    <t>Ingresos Skool</t>
  </si>
  <si>
    <t>Pagos enviados por Skool en USD + lo que llegó al banco en COP (input).</t>
  </si>
  <si>
    <t>Pauta Meta</t>
  </si>
  <si>
    <t>Detalle de los 25 cobros reales (29 menos 4 fallidos) + columna para lo cobrado por el banco.</t>
  </si>
  <si>
    <t>Gastos Lina</t>
  </si>
  <si>
    <t>Suscripciones, pauta, edición de YouTube y video ads que paga Lina.</t>
  </si>
  <si>
    <t>Gastos JoinsClee</t>
  </si>
  <si>
    <t>Edición de reels y otros gastos que paga la agencia.</t>
  </si>
  <si>
    <t>Liquidación</t>
  </si>
  <si>
    <t>Beneficio neto, reparto 70/30 y devolución de gastos a cada parte.</t>
  </si>
  <si>
    <t>NOTAS METODOLÓGICAS</t>
  </si>
  <si>
    <t>• Skool envía pagos los miércoles; Bancolombia los acredita ~viernes (con conversión + comisiones).</t>
  </si>
  <si>
    <t>• La columna 'COP recibido (real banco)' la llena Lina con lo que efectivamente entró a la cuenta.</t>
  </si>
  <si>
    <t>• La diferencia entre 'COP esperado (al TRM)' y 'COP recibido (real)' se llama spread + comisiones.</t>
  </si>
  <si>
    <t>• Los gastos en herramientas y pauta de Lina se devuelven antes del reparto 70/30.</t>
  </si>
  <si>
    <t>• Los gastos de edición de reels que asumió JoinsClee también se devuelven antes del reparto.</t>
  </si>
  <si>
    <t>• El beneficio NETO (después de devolver gastos) es lo que se reparte 70/30.</t>
  </si>
  <si>
    <t>RESUMEN MENSUAL — Vista de Pájaro</t>
  </si>
  <si>
    <t>Acumulado del período actual (febrero–mayo 2026). Detalle en cada hoja específica.</t>
  </si>
  <si>
    <t>INDICADORES PRINCIPALES (acumulado a la fecha)</t>
  </si>
  <si>
    <t>INGRESOS TOTALES (USD)</t>
  </si>
  <si>
    <t>INGRESOS TOTALES (COP, base liquidación)</t>
  </si>
  <si>
    <t>GASTOS TOTALES (COP)</t>
  </si>
  <si>
    <t>BENEFICIO NETO (COP)</t>
  </si>
  <si>
    <t>Margen (%) sobre ingresos</t>
  </si>
  <si>
    <t>REPARTO DEL BENEFICIO</t>
  </si>
  <si>
    <t>Parte</t>
  </si>
  <si>
    <t>% reparto</t>
  </si>
  <si>
    <t>Beneficio (COP)</t>
  </si>
  <si>
    <t>Reembolso gastos</t>
  </si>
  <si>
    <t>TOTAL a recibir</t>
  </si>
  <si>
    <t>Lina Toro (SAVIAS)</t>
  </si>
  <si>
    <t>JoinsClee (Agencia)</t>
  </si>
  <si>
    <t>TOTAL</t>
  </si>
  <si>
    <t>INGRESOS SKOOL POR MES</t>
  </si>
  <si>
    <t>Mes</t>
  </si>
  <si>
    <t>USD enviado</t>
  </si>
  <si>
    <t>COP esperado (TRM)</t>
  </si>
  <si>
    <t>COP real banco</t>
  </si>
  <si>
    <t>Spread/comisión</t>
  </si>
  <si>
    <t>Marzo 2026</t>
  </si>
  <si>
    <t>Abril 2026</t>
  </si>
  <si>
    <t>Mayo 2026</t>
  </si>
  <si>
    <t>PRÓXIMOS PASOS</t>
  </si>
  <si>
    <t>1. Lina llena la columna G de 'Ingresos Skool' con lo que realmente entró en COP a Bancolombia.</t>
  </si>
  <si>
    <t>2. Lina llena la celda 'Total realmente cobrado' en hoja 'Pauta Meta' con lo que cobró el banco por la pauta.</t>
  </si>
  <si>
    <t>3. Lina añade en 'Gastos Lina' el costo del editor de video ads de la campaña inicial.</t>
  </si>
  <si>
    <t>4. Cuando se pague la 2da cuota del editor de YouTube ($900.000 restantes), añadirla en 'Gastos Lina'.</t>
  </si>
  <si>
    <t>5. Actualizar TRM en hoja 'Parámetros' (celda C6) si se quiere usar el TRM del día de la liquidación.</t>
  </si>
  <si>
    <t>6. A partir del próximo mes, duplicar este libro o agregar columnas mensuales para mantener el histórico.</t>
  </si>
  <si>
    <t>INGRESOS SKOOL — Pagos recibidos en cuenta Bancolombia</t>
  </si>
  <si>
    <t>Skool paga miércoles en USD; Bancolombia acredita viernes en COP (con su propio TRM y comisiones).</t>
  </si>
  <si>
    <t>Fecha pago Skool</t>
  </si>
  <si>
    <t>Concepto</t>
  </si>
  <si>
    <t>COP esperado
(al TRM hoy)</t>
  </si>
  <si>
    <t>COP recibido
(real banco)</t>
  </si>
  <si>
    <t>Diferencia
(spread + comisión)</t>
  </si>
  <si>
    <t>% spread</t>
  </si>
  <si>
    <t>Notas</t>
  </si>
  <si>
    <t>2026-03-18</t>
  </si>
  <si>
    <t>Payout Bancolombia •• 6181</t>
  </si>
  <si>
    <t>2026-03-25</t>
  </si>
  <si>
    <t>2026-04-01</t>
  </si>
  <si>
    <t>2026-04-15</t>
  </si>
  <si>
    <t>2026-04-22</t>
  </si>
  <si>
    <t>2026-04-29</t>
  </si>
  <si>
    <t>2026-05-06</t>
  </si>
  <si>
    <t>TOTAL INGRESOS SKOOL</t>
  </si>
  <si>
    <t>DESGLOSE POR MES</t>
  </si>
  <si>
    <t>USD recibido</t>
  </si>
  <si>
    <t>COP real (banco)</t>
  </si>
  <si>
    <t>Pendiente: $362,55 para el viernes 15</t>
  </si>
  <si>
    <t>PAUTA META — Cobros reales (Lina paga con MasterCard •• 1260)</t>
  </si>
  <si>
    <t>Reporte Meta 28/2/2026 – 9/5/2026 · 25 cobros realmente cobrados (29 totales − 4 fallidos)</t>
  </si>
  <si>
    <t>Fecha</t>
  </si>
  <si>
    <t>ID transacción</t>
  </si>
  <si>
    <t>USD cobrado (Meta)</t>
  </si>
  <si>
    <t>2026-04-02</t>
  </si>
  <si>
    <t>26572664362423596-26429900946699936</t>
  </si>
  <si>
    <t>2026-03-24</t>
  </si>
  <si>
    <t>26591968590493175-26265546299802067</t>
  </si>
  <si>
    <t>2026-03-22</t>
  </si>
  <si>
    <t>26621529580870411-26406222812401089</t>
  </si>
  <si>
    <t>2026-03-21</t>
  </si>
  <si>
    <t>26468362829520418-26681058464917516</t>
  </si>
  <si>
    <t>26468361729520528-26607278612295508</t>
  </si>
  <si>
    <t>26237165705973460-26357343890622311</t>
  </si>
  <si>
    <t>26563207766702591-26681055428251153</t>
  </si>
  <si>
    <t>26681054208251275-26319660774390620</t>
  </si>
  <si>
    <t>2026-03-17</t>
  </si>
  <si>
    <t>26562583706764999-26518033244553377</t>
  </si>
  <si>
    <t>2026-03-15</t>
  </si>
  <si>
    <t>26256860720670626-26294395416917159</t>
  </si>
  <si>
    <t>26499869073036461-26233079546382078</t>
  </si>
  <si>
    <t>26405535969136438-26499868619703173</t>
  </si>
  <si>
    <t>26405535299136505-26544570408566329</t>
  </si>
  <si>
    <t>26375920158764685-26405534705803231</t>
  </si>
  <si>
    <t>2026-03-14</t>
  </si>
  <si>
    <t>26245022415187790-26606411935715503</t>
  </si>
  <si>
    <t>26606410999048930-26282460948110606</t>
  </si>
  <si>
    <t>2026-03-13</t>
  </si>
  <si>
    <t>26596548270035203-26307542422269129</t>
  </si>
  <si>
    <t>2026-03-12</t>
  </si>
  <si>
    <t>26143048612051837-26201154719574561</t>
  </si>
  <si>
    <t>2026-03-11</t>
  </si>
  <si>
    <t>26333114713045230-26214092231614142</t>
  </si>
  <si>
    <t>2026-03-06</t>
  </si>
  <si>
    <t>26286141294409239-26315731628116873</t>
  </si>
  <si>
    <t>2026-03-05</t>
  </si>
  <si>
    <t>26159684730388226-26402049329485103</t>
  </si>
  <si>
    <t>26072314105791955-26190737470616288</t>
  </si>
  <si>
    <t>2026-03-04</t>
  </si>
  <si>
    <t>26064981466525219-26388599557496747</t>
  </si>
  <si>
    <t>2026-03-03</t>
  </si>
  <si>
    <t>26427080106982027-26139125832444116</t>
  </si>
  <si>
    <t>26278440451845991-26166803563009679</t>
  </si>
  <si>
    <t>TOTAL PAUTA META (25 cobros reales)</t>
  </si>
  <si>
    <t>VERIFICACIÓN — Lo que el banco realmente cobró</t>
  </si>
  <si>
    <t>USD</t>
  </si>
  <si>
    <t>COP (input Lina)</t>
  </si>
  <si>
    <t>Diferencia vs. esperado</t>
  </si>
  <si>
    <t>Total realmente cobrado por el banco</t>
  </si>
  <si>
    <t>Cotejar con extracto bancario MasterCard •• 1260</t>
  </si>
  <si>
    <t>GASTOS QUE ASUME LINA (SAVIAS)</t>
  </si>
  <si>
    <t>Suscripciones, pauta y producción de video. Estos gastos se devuelven a Lina antes del reparto 70/30.</t>
  </si>
  <si>
    <t>Categoría</t>
  </si>
  <si>
    <t>Frecuencia</t>
  </si>
  <si>
    <t>Meses
cobrados</t>
  </si>
  <si>
    <t>Costo USD
(input)</t>
  </si>
  <si>
    <t>Costo COP
(input)</t>
  </si>
  <si>
    <t>Total COP
(equivalente)</t>
  </si>
  <si>
    <t>Skool</t>
  </si>
  <si>
    <t>Plataforma comunidad</t>
  </si>
  <si>
    <t>Mensual</t>
  </si>
  <si>
    <t>Hosting de la comunidad SAVIAS. Lina ajusta 'Meses cobrados' según los meses realmente facturados desde feb 2026.</t>
  </si>
  <si>
    <t>Funnelchat</t>
  </si>
  <si>
    <t>Automatización WhatsApp</t>
  </si>
  <si>
    <t>SmartChat / SellerChat / Funnelchat. Verificar cuántos meses se han cobrado.</t>
  </si>
  <si>
    <t>ManyChat</t>
  </si>
  <si>
    <t>Automatización Instagram DM</t>
  </si>
  <si>
    <t>Triggers JABÓN, PIEL, INICIO, etc. Verificar cuántos meses se han cobrado.</t>
  </si>
  <si>
    <t>Pauta Meta Ads</t>
  </si>
  <si>
    <t>Publicidad</t>
  </si>
  <si>
    <t>Acumulado</t>
  </si>
  <si>
    <t>Ver hoja 'Pauta Meta'. Lina llena el COP REAL cobrado por el banco. Mientras no lo llene, se usa el equivalente al TRM.</t>
  </si>
  <si>
    <t>Edición YouTube — Lazariiio (50%)</t>
  </si>
  <si>
    <t>Producción audiovisual</t>
  </si>
  <si>
    <t>1ra cuota Opción B</t>
  </si>
  <si>
    <t>$900.000 COP — primer 50% del paquete mensual de 4 videos (Santiago Giraldo / Lazariiio)</t>
  </si>
  <si>
    <t>Edición YouTube — Lazariiio (50% restante)</t>
  </si>
  <si>
    <t>2da cuota pendiente</t>
  </si>
  <si>
    <t>Completar al entregar el último video del mes. Total paquete: $1.800.000 COP</t>
  </si>
  <si>
    <t>Edición video ads (campaña inicial)</t>
  </si>
  <si>
    <t>Único</t>
  </si>
  <si>
    <t>Lina llena el monto que pagó al editor de los video ads</t>
  </si>
  <si>
    <t>Otros gastos Lina (1)</t>
  </si>
  <si>
    <t>Otros</t>
  </si>
  <si>
    <t>—</t>
  </si>
  <si>
    <t>Espacio libre</t>
  </si>
  <si>
    <t>Otros gastos Lina (2)</t>
  </si>
  <si>
    <t>TOTAL GASTOS LINA</t>
  </si>
  <si>
    <t>GASTOS QUE ASUME JOINSCLEE (Agencia)</t>
  </si>
  <si>
    <t>Servicios subcontratados por la agencia. Estos gastos se devuelven a JoinsClee antes del reparto 70/30.</t>
  </si>
  <si>
    <t>Cantidad</t>
  </si>
  <si>
    <t>Costo unitario
USD</t>
  </si>
  <si>
    <t>Costo unitario
COP</t>
  </si>
  <si>
    <t>Subtotal USD</t>
  </si>
  <si>
    <t>Subtotal COP</t>
  </si>
  <si>
    <t>Edición de Reels</t>
  </si>
  <si>
    <t>10 reels × $18 USD</t>
  </si>
  <si>
    <t>Otros gastos JoinsClee (1)</t>
  </si>
  <si>
    <t>Otros gastos JoinsClee (2)</t>
  </si>
  <si>
    <t>Otros gastos JoinsClee (3)</t>
  </si>
  <si>
    <t>TOTAL GASTOS JOINSCLEE</t>
  </si>
  <si>
    <t>LIQUIDACIÓN GENERAL — Cuadre de Cuentas</t>
  </si>
  <si>
    <t>Reparto: 70% Lina Toro · 30% JoinsClee — sobre beneficio NETO (después de devolver gastos)</t>
  </si>
  <si>
    <t>1. INGRESOS</t>
  </si>
  <si>
    <t>COP</t>
  </si>
  <si>
    <t>Ingresos Skool (USD enviados)</t>
  </si>
  <si>
    <t>Equivalente al TRM. Para usar el real del banco, ver D8.</t>
  </si>
  <si>
    <t>Ingresos Skool — COP REAL banco (si Lina llenó la columna G de 'Ingresos Skool')</t>
  </si>
  <si>
    <t>Si está en cero, completar inputs amarillos en hoja 'Ingresos Skool'.</t>
  </si>
  <si>
    <t>TOTAL INGRESOS (usar real si &gt; 0, si no usar TRM)</t>
  </si>
  <si>
    <t>Esta es la base de ingresos para calcular beneficio.</t>
  </si>
  <si>
    <t>2. GASTOS</t>
  </si>
  <si>
    <t>Quién paga</t>
  </si>
  <si>
    <t>Gastos asumidos por Lina</t>
  </si>
  <si>
    <t>Lina</t>
  </si>
  <si>
    <t>Suscripciones + pauta Meta + edición YouTube + video ads</t>
  </si>
  <si>
    <t>Gastos asumidos por JoinsClee</t>
  </si>
  <si>
    <t>JoinsClee</t>
  </si>
  <si>
    <t>Edición de reels y otros servicios subcontratados</t>
  </si>
  <si>
    <t>TOTAL GASTOS</t>
  </si>
  <si>
    <t>Estos gastos se devuelven a quien los pagó antes del reparto.</t>
  </si>
  <si>
    <t>3. BENEFICIO NETO</t>
  </si>
  <si>
    <t>BENEFICIO NETO = Ingresos − Gastos totales</t>
  </si>
  <si>
    <t>Lo que sobra para repartir 70/30.</t>
  </si>
  <si>
    <t>4. REPARTO DEL BENEFICIO (70 / 30)</t>
  </si>
  <si>
    <t>%</t>
  </si>
  <si>
    <t>70% del beneficio neto</t>
  </si>
  <si>
    <t>30% del beneficio neto</t>
  </si>
  <si>
    <t>Verificación (debe sumar = beneficio neto)</t>
  </si>
  <si>
    <t>5. LIQUIDACIÓN FINAL — ¿Cuánto se queda cada uno?</t>
  </si>
  <si>
    <t>Lina Toro</t>
  </si>
  <si>
    <t>(+) Devolución de gastos asumidos</t>
  </si>
  <si>
    <t>Cada parte recupera lo que adelantó.</t>
  </si>
  <si>
    <t>(+) Parte del beneficio neto (70 / 30)</t>
  </si>
  <si>
    <t>Resultado del reparto del beneficio neto.</t>
  </si>
  <si>
    <t>TOTAL A RECIBIR</t>
  </si>
  <si>
    <t>Suma final que cada parte se lleva en este período.</t>
  </si>
  <si>
    <t>Verificación: Total a recibir (Lina + JoinsClee) = Ingresos totales − 0</t>
  </si>
  <si>
    <t>Estas dos celdas deben coincidir (ingreso = devolución gastos + beneficio repartido)</t>
  </si>
  <si>
    <t>Diferencia (debe ser cero)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</si>
</sst>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"/>
    <numFmt numFmtId="165" formatCode="0.0%"/>
    <numFmt numFmtId="166" formatCode="\$#,##0.00;[RED]&quot;($&quot;#,##0.00\);\-"/>
    <numFmt numFmtId="167" formatCode="\$#,##0;[RED]&quot;($&quot;#,##0\);\-"/>
  </numFmts>
  <fonts count="24">
    <font>
      <sz val="11.0"/>
      <color theme="1"/>
      <name val="Calibri"/>
      <scheme val="minor"/>
    </font>
    <font>
      <b/>
      <sz val="18.0"/>
      <color rgb="FF1E5A3C"/>
      <name val="Arial"/>
    </font>
    <font>
      <i/>
      <sz val="10.0"/>
      <color rgb="FF555555"/>
      <name val="Arial"/>
    </font>
    <font>
      <b/>
      <sz val="11.0"/>
      <color rgb="FFFFFFFF"/>
      <name val="Arial"/>
    </font>
    <font/>
    <font>
      <b/>
      <sz val="10.0"/>
      <color rgb="FF000000"/>
      <name val="Arial"/>
    </font>
    <font>
      <sz val="10.0"/>
      <color rgb="FF0000FF"/>
      <name val="Arial"/>
    </font>
    <font>
      <i/>
      <sz val="10.0"/>
      <color rgb="FF000000"/>
      <name val="Arial"/>
    </font>
    <font>
      <sz val="10.0"/>
      <color rgb="FF000000"/>
      <name val="Arial"/>
    </font>
    <font>
      <b/>
      <sz val="10.0"/>
      <color rgb="FF0000FF"/>
      <name val="Arial"/>
    </font>
    <font>
      <b/>
      <sz val="10.0"/>
      <color rgb="FF008000"/>
      <name val="Arial"/>
    </font>
    <font>
      <b/>
      <sz val="16.0"/>
      <color rgb="FF1E5A3C"/>
      <name val="Arial"/>
    </font>
    <font>
      <b/>
      <sz val="11.0"/>
      <color rgb="FF000000"/>
      <name val="Arial"/>
    </font>
    <font>
      <b/>
      <sz val="12.0"/>
      <color rgb="FFFFFFFF"/>
      <name val="Arial"/>
    </font>
    <font>
      <sz val="10.0"/>
      <color rgb="FF008000"/>
      <name val="Arial"/>
    </font>
    <font>
      <b/>
      <sz val="11.0"/>
      <color theme="1"/>
      <name val="Arial"/>
    </font>
    <font>
      <b/>
      <sz val="14.0"/>
      <color rgb="FF1E5A3C"/>
      <name val="Arial"/>
    </font>
    <font>
      <i/>
      <sz val="9.0"/>
      <color rgb="FF555555"/>
      <name val="Arial"/>
    </font>
    <font>
      <sz val="11.0"/>
      <color theme="1"/>
      <name val="Calibri"/>
    </font>
    <font>
      <color theme="1"/>
      <name val="Calibri"/>
      <scheme val="minor"/>
    </font>
    <font>
      <sz val="8.0"/>
      <color rgb="FF000000"/>
      <name val="Arial"/>
    </font>
    <font>
      <b/>
      <sz val="14.0"/>
      <color rgb="FFFFFFFF"/>
      <name val="Arial"/>
    </font>
    <font>
      <b/>
      <sz val="13.0"/>
      <color rgb="FFFFFFFF"/>
      <name val="Arial"/>
    </font>
    <font>
      <i/>
      <sz val="10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E5A3C"/>
        <bgColor rgb="FF1E5A3C"/>
      </patternFill>
    </fill>
    <fill>
      <patternFill patternType="solid">
        <fgColor rgb="FFFFF9C4"/>
        <bgColor rgb="FFFFF9C4"/>
      </patternFill>
    </fill>
    <fill>
      <patternFill patternType="solid">
        <fgColor rgb="FFD4E6D9"/>
        <bgColor rgb="FFD4E6D9"/>
      </patternFill>
    </fill>
    <fill>
      <patternFill patternType="solid">
        <fgColor rgb="FFA8D5BA"/>
        <bgColor rgb="FFA8D5BA"/>
      </patternFill>
    </fill>
    <fill>
      <patternFill patternType="solid">
        <fgColor rgb="FFFCE4E4"/>
        <bgColor rgb="FFFCE4E4"/>
      </patternFill>
    </fill>
    <fill>
      <patternFill patternType="solid">
        <fgColor rgb="FFE1E9F5"/>
        <bgColor rgb="FFE1E9F5"/>
      </patternFill>
    </fill>
    <fill>
      <patternFill patternType="solid">
        <fgColor rgb="FFF4CCCC"/>
        <bgColor rgb="FFF4CCCC"/>
      </patternFill>
    </fill>
    <fill>
      <patternFill patternType="solid">
        <fgColor rgb="FFE4F4E4"/>
        <bgColor rgb="FFE4F4E4"/>
      </patternFill>
    </fill>
  </fills>
  <borders count="11">
    <border/>
    <border>
      <left style="medium">
        <color rgb="FF333333"/>
      </left>
      <top style="medium">
        <color rgb="FF333333"/>
      </top>
      <bottom style="medium">
        <color rgb="FF333333"/>
      </bottom>
    </border>
    <border>
      <top style="medium">
        <color rgb="FF333333"/>
      </top>
      <bottom style="medium">
        <color rgb="FF333333"/>
      </bottom>
    </border>
    <border>
      <right style="medium">
        <color rgb="FF333333"/>
      </right>
      <top style="medium">
        <color rgb="FF333333"/>
      </top>
      <bottom style="medium">
        <color rgb="FF333333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</border>
    <border>
      <right/>
      <top style="medium">
        <color rgb="FF333333"/>
      </top>
      <bottom style="medium">
        <color rgb="FF33333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3" fontId="6" numFmtId="164" xfId="0" applyAlignment="1" applyBorder="1" applyFill="1" applyFont="1" applyNumberFormat="1">
      <alignment shrinkToFit="0" vertical="bottom" wrapText="0"/>
    </xf>
    <xf borderId="4" fillId="3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3" fontId="6" numFmtId="165" xfId="0" applyAlignment="1" applyBorder="1" applyFont="1" applyNumberFormat="1">
      <alignment shrinkToFit="0" vertical="bottom" wrapText="0"/>
    </xf>
    <xf borderId="4" fillId="0" fontId="7" numFmtId="0" xfId="0" applyAlignment="1" applyBorder="1" applyFont="1">
      <alignment horizontal="left" shrinkToFit="0" vertical="center" wrapText="1"/>
    </xf>
    <xf borderId="4" fillId="0" fontId="5" numFmtId="165" xfId="0" applyAlignment="1" applyBorder="1" applyFont="1" applyNumberFormat="1">
      <alignment shrinkToFit="0" vertical="bottom" wrapText="0"/>
    </xf>
    <xf borderId="4" fillId="3" fontId="9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5" fillId="0" fontId="7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0" fillId="0" fontId="11" numFmtId="0" xfId="0" applyAlignment="1" applyFont="1">
      <alignment shrinkToFit="0" vertical="bottom" wrapText="0"/>
    </xf>
    <xf borderId="4" fillId="5" fontId="5" numFmtId="0" xfId="0" applyAlignment="1" applyBorder="1" applyFill="1" applyFont="1">
      <alignment horizontal="left" shrinkToFit="0" vertical="center" wrapText="0"/>
    </xf>
    <xf borderId="7" fillId="4" fontId="12" numFmtId="166" xfId="0" applyAlignment="1" applyBorder="1" applyFont="1" applyNumberFormat="1">
      <alignment horizontal="right" shrinkToFit="0" vertical="center" wrapText="0"/>
    </xf>
    <xf borderId="7" fillId="4" fontId="12" numFmtId="167" xfId="0" applyAlignment="1" applyBorder="1" applyFont="1" applyNumberFormat="1">
      <alignment horizontal="right" shrinkToFit="0" vertical="center" wrapText="0"/>
    </xf>
    <xf borderId="4" fillId="6" fontId="5" numFmtId="0" xfId="0" applyAlignment="1" applyBorder="1" applyFill="1" applyFont="1">
      <alignment horizontal="left" shrinkToFit="0" vertical="center" wrapText="0"/>
    </xf>
    <xf borderId="7" fillId="6" fontId="12" numFmtId="167" xfId="0" applyAlignment="1" applyBorder="1" applyFont="1" applyNumberFormat="1">
      <alignment horizontal="right" shrinkToFit="0" vertical="center" wrapText="0"/>
    </xf>
    <xf borderId="7" fillId="2" fontId="3" numFmtId="0" xfId="0" applyAlignment="1" applyBorder="1" applyFont="1">
      <alignment horizontal="left" shrinkToFit="0" vertical="center" wrapText="0"/>
    </xf>
    <xf borderId="7" fillId="2" fontId="13" numFmtId="167" xfId="0" applyAlignment="1" applyBorder="1" applyFont="1" applyNumberFormat="1">
      <alignment horizontal="right" shrinkToFit="0" vertical="center" wrapText="0"/>
    </xf>
    <xf borderId="4" fillId="7" fontId="7" numFmtId="0" xfId="0" applyAlignment="1" applyBorder="1" applyFill="1" applyFont="1">
      <alignment horizontal="left" shrinkToFit="0" vertical="center" wrapText="1"/>
    </xf>
    <xf borderId="4" fillId="7" fontId="5" numFmtId="165" xfId="0" applyAlignment="1" applyBorder="1" applyFont="1" applyNumberFormat="1">
      <alignment shrinkToFit="0" vertical="bottom" wrapText="0"/>
    </xf>
    <xf borderId="4" fillId="5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0" fontId="14" numFmtId="165" xfId="0" applyAlignment="1" applyBorder="1" applyFont="1" applyNumberFormat="1">
      <alignment shrinkToFit="0" vertical="bottom" wrapText="0"/>
    </xf>
    <xf borderId="4" fillId="0" fontId="14" numFmtId="167" xfId="0" applyAlignment="1" applyBorder="1" applyFont="1" applyNumberFormat="1">
      <alignment shrinkToFit="0" vertical="bottom" wrapText="0"/>
    </xf>
    <xf borderId="7" fillId="4" fontId="12" numFmtId="167" xfId="0" applyAlignment="1" applyBorder="1" applyFont="1" applyNumberFormat="1">
      <alignment shrinkToFit="0" vertical="bottom" wrapText="0"/>
    </xf>
    <xf borderId="7" fillId="4" fontId="15" numFmtId="0" xfId="0" applyAlignment="1" applyBorder="1" applyFont="1">
      <alignment horizontal="right" shrinkToFit="0" vertical="center" wrapText="0"/>
    </xf>
    <xf borderId="7" fillId="4" fontId="12" numFmtId="10" xfId="0" applyAlignment="1" applyBorder="1" applyFont="1" applyNumberFormat="1">
      <alignment shrinkToFit="0" vertical="bottom" wrapText="0"/>
    </xf>
    <xf borderId="4" fillId="0" fontId="10" numFmtId="166" xfId="0" applyAlignment="1" applyBorder="1" applyFont="1" applyNumberFormat="1">
      <alignment shrinkToFit="0" vertical="bottom" wrapText="0"/>
    </xf>
    <xf borderId="4" fillId="0" fontId="10" numFmtId="167" xfId="0" applyAlignment="1" applyBorder="1" applyFont="1" applyNumberFormat="1">
      <alignment shrinkToFit="0" vertical="bottom" wrapText="0"/>
    </xf>
    <xf borderId="4" fillId="0" fontId="8" numFmtId="165" xfId="0" applyAlignment="1" applyBorder="1" applyFont="1" applyNumberFormat="1">
      <alignment shrinkToFit="0" vertical="bottom" wrapText="0"/>
    </xf>
    <xf borderId="7" fillId="4" fontId="15" numFmtId="0" xfId="0" applyAlignment="1" applyBorder="1" applyFont="1">
      <alignment horizontal="right" shrinkToFit="0" vertical="bottom" wrapText="0"/>
    </xf>
    <xf borderId="7" fillId="4" fontId="12" numFmtId="166" xfId="0" applyAlignment="1" applyBorder="1" applyFont="1" applyNumberFormat="1">
      <alignment shrinkToFit="0" vertical="bottom" wrapText="0"/>
    </xf>
    <xf borderId="7" fillId="4" fontId="12" numFmtId="165" xfId="0" applyAlignment="1" applyBorder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7" fillId="2" fontId="3" numFmtId="0" xfId="0" applyAlignment="1" applyBorder="1" applyFont="1">
      <alignment horizontal="center" shrinkToFit="0" vertical="center" wrapText="1"/>
    </xf>
    <xf borderId="4" fillId="3" fontId="6" numFmtId="166" xfId="0" applyAlignment="1" applyBorder="1" applyFont="1" applyNumberFormat="1">
      <alignment shrinkToFit="0" vertical="bottom" wrapText="0"/>
    </xf>
    <xf borderId="4" fillId="0" fontId="8" numFmtId="167" xfId="0" applyAlignment="1" applyBorder="1" applyFont="1" applyNumberFormat="1">
      <alignment shrinkToFit="0" vertical="bottom" wrapText="0"/>
    </xf>
    <xf borderId="4" fillId="3" fontId="6" numFmtId="167" xfId="0" applyAlignment="1" applyBorder="1" applyFont="1" applyNumberFormat="1">
      <alignment shrinkToFit="0" vertical="bottom" wrapText="0"/>
    </xf>
    <xf borderId="1" fillId="4" fontId="15" numFmtId="0" xfId="0" applyAlignment="1" applyBorder="1" applyFont="1">
      <alignment horizontal="right" shrinkToFit="0" vertical="center" wrapText="0"/>
    </xf>
    <xf borderId="8" fillId="0" fontId="4" numFmtId="0" xfId="0" applyBorder="1" applyFont="1"/>
    <xf borderId="7" fillId="4" fontId="18" numFmtId="0" xfId="0" applyAlignment="1" applyBorder="1" applyFont="1">
      <alignment shrinkToFit="0" vertical="bottom" wrapText="0"/>
    </xf>
    <xf borderId="4" fillId="0" fontId="5" numFmtId="166" xfId="0" applyAlignment="1" applyBorder="1" applyFont="1" applyNumberFormat="1">
      <alignment shrinkToFit="0" vertical="bottom" wrapText="0"/>
    </xf>
    <xf borderId="4" fillId="0" fontId="5" numFmtId="167" xfId="0" applyAlignment="1" applyBorder="1" applyFont="1" applyNumberFormat="1">
      <alignment shrinkToFit="0" vertical="bottom" wrapText="0"/>
    </xf>
    <xf borderId="9" fillId="8" fontId="19" numFmtId="0" xfId="0" applyAlignment="1" applyBorder="1" applyFill="1" applyFont="1">
      <alignment readingOrder="0"/>
    </xf>
    <xf borderId="10" fillId="8" fontId="19" numFmtId="0" xfId="0" applyBorder="1" applyFont="1"/>
    <xf borderId="4" fillId="0" fontId="20" numFmtId="0" xfId="0" applyAlignment="1" applyBorder="1" applyFont="1">
      <alignment horizontal="left" shrinkToFit="0" vertical="center" wrapText="1"/>
    </xf>
    <xf borderId="4" fillId="0" fontId="8" numFmtId="166" xfId="0" applyAlignment="1" applyBorder="1" applyFont="1" applyNumberFormat="1">
      <alignment shrinkToFit="0" vertical="bottom" wrapText="0"/>
    </xf>
    <xf borderId="4" fillId="3" fontId="6" numFmtId="1" xfId="0" applyAlignment="1" applyBorder="1" applyFont="1" applyNumberFormat="1">
      <alignment horizontal="center" shrinkToFit="0" vertical="bottom" wrapText="0"/>
    </xf>
    <xf borderId="4" fillId="3" fontId="6" numFmtId="166" xfId="0" applyAlignment="1" applyBorder="1" applyFont="1" applyNumberFormat="1">
      <alignment readingOrder="0" shrinkToFit="0" vertical="bottom" wrapText="0"/>
    </xf>
    <xf borderId="4" fillId="3" fontId="14" numFmtId="167" xfId="0" applyAlignment="1" applyBorder="1" applyFont="1" applyNumberFormat="1">
      <alignment shrinkToFit="0" vertical="bottom" wrapText="0"/>
    </xf>
    <xf borderId="4" fillId="3" fontId="6" numFmtId="1" xfId="0" applyAlignment="1" applyBorder="1" applyFont="1" applyNumberFormat="1">
      <alignment shrinkToFit="0" vertical="bottom" wrapText="0"/>
    </xf>
    <xf borderId="4" fillId="9" fontId="8" numFmtId="0" xfId="0" applyAlignment="1" applyBorder="1" applyFill="1" applyFont="1">
      <alignment horizontal="left" shrinkToFit="0" vertical="center" wrapText="1"/>
    </xf>
    <xf borderId="4" fillId="0" fontId="18" numFmtId="0" xfId="0" applyAlignment="1" applyBorder="1" applyFont="1">
      <alignment horizontal="center" shrinkToFit="0" vertical="bottom" wrapText="0"/>
    </xf>
    <xf borderId="4" fillId="4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bottom" wrapText="0"/>
    </xf>
    <xf borderId="7" fillId="4" fontId="18" numFmtId="0" xfId="0" applyAlignment="1" applyBorder="1" applyFont="1">
      <alignment horizontal="center" shrinkToFit="0" vertical="bottom" wrapText="0"/>
    </xf>
    <xf borderId="1" fillId="2" fontId="13" numFmtId="0" xfId="0" applyAlignment="1" applyBorder="1" applyFont="1">
      <alignment horizontal="left" shrinkToFit="0" vertical="center" wrapText="0"/>
    </xf>
    <xf borderId="7" fillId="2" fontId="21" numFmtId="167" xfId="0" applyAlignment="1" applyBorder="1" applyFont="1" applyNumberFormat="1">
      <alignment horizontal="right" shrinkToFit="0" vertical="center" wrapText="0"/>
    </xf>
    <xf borderId="7" fillId="2" fontId="13" numFmtId="0" xfId="0" applyAlignment="1" applyBorder="1" applyFont="1">
      <alignment horizontal="right" shrinkToFit="0" vertical="center" wrapText="0"/>
    </xf>
    <xf borderId="7" fillId="2" fontId="22" numFmtId="167" xfId="0" applyAlignment="1" applyBorder="1" applyFont="1" applyNumberFormat="1">
      <alignment horizontal="right" shrinkToFit="0" vertical="center" wrapText="0"/>
    </xf>
    <xf borderId="4" fillId="2" fontId="23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22.0"/>
    <col customWidth="1" min="4" max="4" width="60.0"/>
    <col customWidth="1" min="5" max="26" width="8.71"/>
  </cols>
  <sheetData>
    <row r="2" ht="25.5" customHeight="1">
      <c r="B2" s="1" t="s">
        <v>0</v>
      </c>
    </row>
    <row r="3">
      <c r="B3" s="2" t="s">
        <v>1</v>
      </c>
    </row>
    <row r="5" ht="15.0" customHeight="1">
      <c r="B5" s="3" t="s">
        <v>2</v>
      </c>
      <c r="C5" s="4"/>
      <c r="D5" s="5"/>
    </row>
    <row r="6" ht="21.75" customHeight="1">
      <c r="B6" s="6" t="s">
        <v>3</v>
      </c>
      <c r="C6" s="7">
        <v>3729.27</v>
      </c>
      <c r="D6" s="8" t="s">
        <v>4</v>
      </c>
    </row>
    <row r="7" ht="21.75" customHeight="1">
      <c r="B7" s="9" t="s">
        <v>5</v>
      </c>
      <c r="C7" s="10">
        <v>0.7</v>
      </c>
      <c r="D7" s="11" t="s">
        <v>6</v>
      </c>
    </row>
    <row r="8" ht="21.75" customHeight="1">
      <c r="B8" s="9" t="s">
        <v>7</v>
      </c>
      <c r="C8" s="10">
        <v>0.3</v>
      </c>
      <c r="D8" s="11" t="s">
        <v>8</v>
      </c>
    </row>
    <row r="9" ht="21.75" customHeight="1">
      <c r="B9" s="11" t="s">
        <v>9</v>
      </c>
      <c r="C9" s="12">
        <f>C7+C8</f>
        <v>1</v>
      </c>
    </row>
    <row r="10" ht="21.75" customHeight="1"/>
    <row r="11" ht="21.75" customHeight="1">
      <c r="B11" s="3" t="s">
        <v>10</v>
      </c>
      <c r="C11" s="4"/>
      <c r="D11" s="5"/>
    </row>
    <row r="12" ht="21.75" customHeight="1">
      <c r="B12" s="13" t="s">
        <v>11</v>
      </c>
      <c r="C12" s="6" t="s">
        <v>12</v>
      </c>
      <c r="D12" s="11" t="s">
        <v>13</v>
      </c>
    </row>
    <row r="13" ht="21.75" customHeight="1">
      <c r="B13" s="14" t="s">
        <v>14</v>
      </c>
      <c r="C13" s="6" t="s">
        <v>15</v>
      </c>
      <c r="D13" s="11" t="s">
        <v>16</v>
      </c>
    </row>
    <row r="14" ht="21.75" customHeight="1">
      <c r="B14" s="15" t="s">
        <v>17</v>
      </c>
      <c r="C14" s="6" t="s">
        <v>18</v>
      </c>
      <c r="D14" s="11" t="s">
        <v>19</v>
      </c>
    </row>
    <row r="15" ht="21.75" customHeight="1">
      <c r="B15" s="16" t="s">
        <v>20</v>
      </c>
      <c r="C15" s="6" t="s">
        <v>21</v>
      </c>
      <c r="D15" s="11" t="s">
        <v>22</v>
      </c>
    </row>
    <row r="16" ht="21.75" customHeight="1"/>
    <row r="17" ht="21.75" customHeight="1">
      <c r="B17" s="3" t="s">
        <v>23</v>
      </c>
      <c r="C17" s="4"/>
      <c r="D17" s="5"/>
    </row>
    <row r="18" ht="21.75" customHeight="1">
      <c r="B18" s="6" t="s">
        <v>24</v>
      </c>
      <c r="C18" s="17" t="s">
        <v>25</v>
      </c>
      <c r="D18" s="18"/>
    </row>
    <row r="19" ht="21.75" customHeight="1">
      <c r="B19" s="6" t="s">
        <v>26</v>
      </c>
      <c r="C19" s="17" t="s">
        <v>27</v>
      </c>
      <c r="D19" s="18"/>
    </row>
    <row r="20" ht="21.75" customHeight="1">
      <c r="B20" s="6" t="s">
        <v>28</v>
      </c>
      <c r="C20" s="17" t="s">
        <v>29</v>
      </c>
      <c r="D20" s="18"/>
    </row>
    <row r="21" ht="21.75" customHeight="1">
      <c r="B21" s="6" t="s">
        <v>30</v>
      </c>
      <c r="C21" s="17" t="s">
        <v>31</v>
      </c>
      <c r="D21" s="18"/>
    </row>
    <row r="22" ht="21.75" customHeight="1">
      <c r="B22" s="6" t="s">
        <v>32</v>
      </c>
      <c r="C22" s="17" t="s">
        <v>33</v>
      </c>
      <c r="D22" s="18"/>
    </row>
    <row r="23" ht="21.75" customHeight="1">
      <c r="B23" s="6" t="s">
        <v>34</v>
      </c>
      <c r="C23" s="17" t="s">
        <v>35</v>
      </c>
      <c r="D23" s="18"/>
    </row>
    <row r="24" ht="21.75" customHeight="1">
      <c r="B24" s="6" t="s">
        <v>36</v>
      </c>
      <c r="C24" s="17" t="s">
        <v>37</v>
      </c>
      <c r="D24" s="18"/>
    </row>
    <row r="25" ht="21.75" customHeight="1"/>
    <row r="26" ht="21.75" customHeight="1">
      <c r="B26" s="3" t="s">
        <v>38</v>
      </c>
      <c r="C26" s="4"/>
      <c r="D26" s="5"/>
    </row>
    <row r="27" ht="21.75" customHeight="1">
      <c r="B27" s="17" t="s">
        <v>39</v>
      </c>
      <c r="C27" s="18"/>
      <c r="D27" s="18"/>
    </row>
    <row r="28" ht="21.75" customHeight="1">
      <c r="B28" s="17" t="s">
        <v>40</v>
      </c>
      <c r="C28" s="18"/>
      <c r="D28" s="18"/>
    </row>
    <row r="29" ht="21.75" customHeight="1">
      <c r="B29" s="17" t="s">
        <v>41</v>
      </c>
      <c r="C29" s="18"/>
      <c r="D29" s="18"/>
    </row>
    <row r="30" ht="21.75" customHeight="1">
      <c r="B30" s="17" t="s">
        <v>42</v>
      </c>
      <c r="C30" s="18"/>
      <c r="D30" s="18"/>
    </row>
    <row r="31" ht="21.75" customHeight="1">
      <c r="B31" s="17" t="s">
        <v>43</v>
      </c>
      <c r="C31" s="18"/>
      <c r="D31" s="18"/>
    </row>
    <row r="32" ht="21.75" customHeight="1">
      <c r="B32" s="17" t="s">
        <v>44</v>
      </c>
      <c r="C32" s="18"/>
      <c r="D32" s="1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D2"/>
    <mergeCell ref="B3:D3"/>
    <mergeCell ref="B5:D5"/>
    <mergeCell ref="B11:D11"/>
    <mergeCell ref="B17:D17"/>
    <mergeCell ref="C18:D18"/>
    <mergeCell ref="C19:D19"/>
    <mergeCell ref="B28:D28"/>
    <mergeCell ref="B29:D29"/>
    <mergeCell ref="B30:D30"/>
    <mergeCell ref="B31:D31"/>
    <mergeCell ref="B32:D32"/>
    <mergeCell ref="C20:D20"/>
    <mergeCell ref="C21:D21"/>
    <mergeCell ref="C22:D22"/>
    <mergeCell ref="C23:D23"/>
    <mergeCell ref="C24:D24"/>
    <mergeCell ref="B26:D26"/>
    <mergeCell ref="B27:D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6" width="18.0"/>
    <col customWidth="1" min="7" max="26" width="8.71"/>
  </cols>
  <sheetData>
    <row r="2" ht="25.5" customHeight="1">
      <c r="B2" s="19" t="s">
        <v>45</v>
      </c>
    </row>
    <row r="3">
      <c r="B3" s="2" t="s">
        <v>46</v>
      </c>
    </row>
    <row r="5" ht="15.0" customHeight="1">
      <c r="B5" s="3" t="s">
        <v>47</v>
      </c>
      <c r="C5" s="4"/>
      <c r="D5" s="4"/>
      <c r="E5" s="4"/>
      <c r="F5" s="5"/>
    </row>
    <row r="6">
      <c r="B6" s="20" t="s">
        <v>48</v>
      </c>
      <c r="C6" s="21">
        <f>'Ingresos Skool'!E14</f>
        <v>4682.21</v>
      </c>
    </row>
    <row r="7">
      <c r="B7" s="20" t="s">
        <v>49</v>
      </c>
      <c r="C7" s="22">
        <f>'Liquidación'!D9</f>
        <v>17461225.29</v>
      </c>
    </row>
    <row r="8">
      <c r="B8" s="23" t="s">
        <v>50</v>
      </c>
      <c r="C8" s="24">
        <f>'Liquidación'!D15</f>
        <v>4608796.308</v>
      </c>
    </row>
    <row r="9" ht="25.5" customHeight="1">
      <c r="B9" s="25" t="s">
        <v>51</v>
      </c>
      <c r="C9" s="26">
        <f>'Liquidación'!D18</f>
        <v>12852428.98</v>
      </c>
    </row>
    <row r="10">
      <c r="B10" s="27" t="s">
        <v>52</v>
      </c>
      <c r="C10" s="28">
        <f>IFERROR(C9/C7,0)</f>
        <v>0.7360553895</v>
      </c>
    </row>
    <row r="12" ht="15.0" customHeight="1">
      <c r="B12" s="3" t="s">
        <v>53</v>
      </c>
      <c r="C12" s="4"/>
      <c r="D12" s="4"/>
      <c r="E12" s="4"/>
      <c r="F12" s="5"/>
    </row>
    <row r="13">
      <c r="B13" s="29" t="s">
        <v>54</v>
      </c>
      <c r="C13" s="29" t="s">
        <v>55</v>
      </c>
      <c r="D13" s="29" t="s">
        <v>56</v>
      </c>
      <c r="E13" s="29" t="s">
        <v>57</v>
      </c>
      <c r="F13" s="29" t="s">
        <v>58</v>
      </c>
    </row>
    <row r="14">
      <c r="B14" s="30" t="s">
        <v>59</v>
      </c>
      <c r="C14" s="31">
        <f>'Parámetros'!$C$7</f>
        <v>0.7</v>
      </c>
      <c r="D14" s="32">
        <f>'Liquidación'!D22</f>
        <v>8996700.285</v>
      </c>
      <c r="E14" s="32">
        <f>'Liquidación'!C28</f>
        <v>3937527.708</v>
      </c>
      <c r="F14" s="33">
        <f>'Liquidación'!C30</f>
        <v>12934227.99</v>
      </c>
    </row>
    <row r="15">
      <c r="B15" s="30" t="s">
        <v>60</v>
      </c>
      <c r="C15" s="31">
        <f>'Parámetros'!$C$8</f>
        <v>0.3</v>
      </c>
      <c r="D15" s="32">
        <f>'Liquidación'!D23</f>
        <v>3855728.694</v>
      </c>
      <c r="E15" s="32">
        <f>'Liquidación'!D28</f>
        <v>671268.6</v>
      </c>
      <c r="F15" s="33">
        <f>'Liquidación'!D30</f>
        <v>4526997.294</v>
      </c>
    </row>
    <row r="16" ht="25.5" customHeight="1">
      <c r="B16" s="34" t="s">
        <v>61</v>
      </c>
      <c r="C16" s="35">
        <f t="shared" ref="C16:F16" si="1">C14+C15</f>
        <v>1</v>
      </c>
      <c r="D16" s="33">
        <f t="shared" si="1"/>
        <v>12852428.98</v>
      </c>
      <c r="E16" s="33">
        <f t="shared" si="1"/>
        <v>4608796.308</v>
      </c>
      <c r="F16" s="33">
        <f t="shared" si="1"/>
        <v>17461225.29</v>
      </c>
    </row>
    <row r="18" ht="15.0" customHeight="1">
      <c r="B18" s="3" t="s">
        <v>62</v>
      </c>
      <c r="C18" s="4"/>
      <c r="D18" s="4"/>
      <c r="E18" s="4"/>
      <c r="F18" s="5"/>
    </row>
    <row r="19">
      <c r="B19" s="29" t="s">
        <v>63</v>
      </c>
      <c r="C19" s="29" t="s">
        <v>64</v>
      </c>
      <c r="D19" s="29" t="s">
        <v>65</v>
      </c>
      <c r="E19" s="29" t="s">
        <v>66</v>
      </c>
      <c r="F19" s="29" t="s">
        <v>67</v>
      </c>
    </row>
    <row r="20">
      <c r="B20" s="6" t="s">
        <v>68</v>
      </c>
      <c r="C20" s="36">
        <f>'Ingresos Skool'!C18</f>
        <v>3245.7</v>
      </c>
      <c r="D20" s="37">
        <f>'Ingresos Skool'!D18</f>
        <v>12104091.64</v>
      </c>
      <c r="E20" s="37">
        <f>'Ingresos Skool'!E18</f>
        <v>0</v>
      </c>
      <c r="F20" s="38">
        <f t="shared" ref="F20:F23" si="2">IFERROR(IF(D20=0,0,(E20-D20)/D20),0)</f>
        <v>-1</v>
      </c>
    </row>
    <row r="21" ht="15.75" customHeight="1">
      <c r="B21" s="6" t="s">
        <v>69</v>
      </c>
      <c r="C21" s="36">
        <f>'Ingresos Skool'!C19</f>
        <v>1410.59</v>
      </c>
      <c r="D21" s="37">
        <f>'Ingresos Skool'!D19</f>
        <v>5260470.969</v>
      </c>
      <c r="E21" s="37">
        <f>'Ingresos Skool'!E19</f>
        <v>0</v>
      </c>
      <c r="F21" s="38">
        <f t="shared" si="2"/>
        <v>-1</v>
      </c>
    </row>
    <row r="22" ht="15.75" customHeight="1">
      <c r="B22" s="6" t="s">
        <v>70</v>
      </c>
      <c r="C22" s="36">
        <f>'Ingresos Skool'!C20</f>
        <v>25.92</v>
      </c>
      <c r="D22" s="37">
        <f>'Ingresos Skool'!D20</f>
        <v>96662.6784</v>
      </c>
      <c r="E22" s="37">
        <f>'Ingresos Skool'!E20</f>
        <v>0</v>
      </c>
      <c r="F22" s="38">
        <f t="shared" si="2"/>
        <v>-1</v>
      </c>
    </row>
    <row r="23" ht="15.75" customHeight="1">
      <c r="B23" s="39" t="s">
        <v>61</v>
      </c>
      <c r="C23" s="40">
        <f t="shared" ref="C23:E23" si="3">SUM(C20:C22)</f>
        <v>4682.21</v>
      </c>
      <c r="D23" s="33">
        <f t="shared" si="3"/>
        <v>17461225.29</v>
      </c>
      <c r="E23" s="33">
        <f t="shared" si="3"/>
        <v>0</v>
      </c>
      <c r="F23" s="41">
        <f t="shared" si="2"/>
        <v>-1</v>
      </c>
    </row>
    <row r="24" ht="15.75" customHeight="1"/>
    <row r="25" ht="15.0" customHeight="1">
      <c r="B25" s="3" t="s">
        <v>71</v>
      </c>
      <c r="C25" s="4"/>
      <c r="D25" s="4"/>
      <c r="E25" s="4"/>
      <c r="F25" s="5"/>
    </row>
    <row r="26" ht="15.0" customHeight="1">
      <c r="B26" s="17" t="s">
        <v>72</v>
      </c>
      <c r="C26" s="18"/>
      <c r="D26" s="18"/>
      <c r="E26" s="18"/>
      <c r="F26" s="18"/>
    </row>
    <row r="27" ht="15.0" customHeight="1">
      <c r="B27" s="17" t="s">
        <v>73</v>
      </c>
      <c r="C27" s="18"/>
      <c r="D27" s="18"/>
      <c r="E27" s="18"/>
      <c r="F27" s="18"/>
    </row>
    <row r="28" ht="15.0" customHeight="1">
      <c r="B28" s="17" t="s">
        <v>74</v>
      </c>
      <c r="C28" s="18"/>
      <c r="D28" s="18"/>
      <c r="E28" s="18"/>
      <c r="F28" s="18"/>
    </row>
    <row r="29" ht="15.0" customHeight="1">
      <c r="B29" s="17" t="s">
        <v>75</v>
      </c>
      <c r="C29" s="18"/>
      <c r="D29" s="18"/>
      <c r="E29" s="18"/>
      <c r="F29" s="18"/>
    </row>
    <row r="30" ht="15.0" customHeight="1">
      <c r="B30" s="17" t="s">
        <v>76</v>
      </c>
      <c r="C30" s="18"/>
      <c r="D30" s="18"/>
      <c r="E30" s="18"/>
      <c r="F30" s="18"/>
    </row>
    <row r="31" ht="15.0" customHeight="1">
      <c r="B31" s="17" t="s">
        <v>77</v>
      </c>
      <c r="C31" s="18"/>
      <c r="D31" s="18"/>
      <c r="E31" s="18"/>
      <c r="F31" s="1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7:F27"/>
    <mergeCell ref="B28:F28"/>
    <mergeCell ref="B29:F29"/>
    <mergeCell ref="B30:F30"/>
    <mergeCell ref="B31:F31"/>
    <mergeCell ref="B2:F2"/>
    <mergeCell ref="B3:F3"/>
    <mergeCell ref="B5:F5"/>
    <mergeCell ref="B12:F12"/>
    <mergeCell ref="B18:F18"/>
    <mergeCell ref="B25:F25"/>
    <mergeCell ref="B26:F2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4.0"/>
    <col customWidth="1" min="3" max="3" width="30.0"/>
    <col customWidth="1" min="4" max="5" width="16.0"/>
    <col customWidth="1" min="6" max="8" width="18.0"/>
    <col customWidth="1" min="9" max="9" width="30.0"/>
    <col customWidth="1" min="10" max="26" width="8.71"/>
  </cols>
  <sheetData>
    <row r="2">
      <c r="B2" s="42" t="s">
        <v>78</v>
      </c>
    </row>
    <row r="3">
      <c r="B3" s="43" t="s">
        <v>79</v>
      </c>
    </row>
    <row r="5" ht="31.5" customHeight="1">
      <c r="B5" s="44" t="s">
        <v>63</v>
      </c>
      <c r="C5" s="44" t="s">
        <v>80</v>
      </c>
      <c r="D5" s="44" t="s">
        <v>81</v>
      </c>
      <c r="E5" s="44" t="s">
        <v>64</v>
      </c>
      <c r="F5" s="44" t="s">
        <v>82</v>
      </c>
      <c r="G5" s="44" t="s">
        <v>83</v>
      </c>
      <c r="H5" s="44" t="s">
        <v>84</v>
      </c>
      <c r="I5" s="44" t="s">
        <v>85</v>
      </c>
      <c r="J5" s="44" t="s">
        <v>86</v>
      </c>
    </row>
    <row r="6">
      <c r="B6" s="9" t="s">
        <v>68</v>
      </c>
      <c r="C6" s="9" t="s">
        <v>87</v>
      </c>
      <c r="D6" s="9" t="s">
        <v>88</v>
      </c>
      <c r="E6" s="45">
        <v>1545.25</v>
      </c>
      <c r="F6" s="46">
        <f>E6*'Parámetros'!$C$6</f>
        <v>5762654.468</v>
      </c>
      <c r="G6" s="47"/>
      <c r="H6" s="46">
        <f t="shared" ref="H6:H12" si="1">IFERROR(G6-F6,0)</f>
        <v>-5762654.468</v>
      </c>
      <c r="I6" s="38">
        <f t="shared" ref="I6:I12" si="2">IFERROR(IF(F6=0,0,(G6-F6)/F6),"")</f>
        <v>-1</v>
      </c>
      <c r="J6" s="9"/>
    </row>
    <row r="7">
      <c r="B7" s="9" t="s">
        <v>68</v>
      </c>
      <c r="C7" s="9" t="s">
        <v>89</v>
      </c>
      <c r="D7" s="9" t="s">
        <v>88</v>
      </c>
      <c r="E7" s="45">
        <v>1700.45</v>
      </c>
      <c r="F7" s="46">
        <f>E7*'Parámetros'!$C$6</f>
        <v>6341437.172</v>
      </c>
      <c r="G7" s="47"/>
      <c r="H7" s="46">
        <f t="shared" si="1"/>
        <v>-6341437.172</v>
      </c>
      <c r="I7" s="38">
        <f t="shared" si="2"/>
        <v>-1</v>
      </c>
      <c r="J7" s="9"/>
    </row>
    <row r="8">
      <c r="B8" s="9" t="s">
        <v>69</v>
      </c>
      <c r="C8" s="9" t="s">
        <v>90</v>
      </c>
      <c r="D8" s="9" t="s">
        <v>88</v>
      </c>
      <c r="E8" s="45">
        <v>25.92</v>
      </c>
      <c r="F8" s="46">
        <f>E8*'Parámetros'!$C$6</f>
        <v>96662.6784</v>
      </c>
      <c r="G8" s="47"/>
      <c r="H8" s="46">
        <f t="shared" si="1"/>
        <v>-96662.6784</v>
      </c>
      <c r="I8" s="38">
        <f t="shared" si="2"/>
        <v>-1</v>
      </c>
      <c r="J8" s="9"/>
    </row>
    <row r="9">
      <c r="B9" s="9" t="s">
        <v>69</v>
      </c>
      <c r="C9" s="9" t="s">
        <v>91</v>
      </c>
      <c r="D9" s="9" t="s">
        <v>88</v>
      </c>
      <c r="E9" s="45">
        <v>428.98</v>
      </c>
      <c r="F9" s="46">
        <f>E9*'Parámetros'!$C$6</f>
        <v>1599782.245</v>
      </c>
      <c r="G9" s="47"/>
      <c r="H9" s="46">
        <f t="shared" si="1"/>
        <v>-1599782.245</v>
      </c>
      <c r="I9" s="38">
        <f t="shared" si="2"/>
        <v>-1</v>
      </c>
      <c r="J9" s="9"/>
    </row>
    <row r="10">
      <c r="B10" s="9" t="s">
        <v>69</v>
      </c>
      <c r="C10" s="9" t="s">
        <v>92</v>
      </c>
      <c r="D10" s="9" t="s">
        <v>88</v>
      </c>
      <c r="E10" s="45">
        <v>562.06</v>
      </c>
      <c r="F10" s="46">
        <f>E10*'Parámetros'!$C$6</f>
        <v>2096073.496</v>
      </c>
      <c r="G10" s="47"/>
      <c r="H10" s="46">
        <f t="shared" si="1"/>
        <v>-2096073.496</v>
      </c>
      <c r="I10" s="38">
        <f t="shared" si="2"/>
        <v>-1</v>
      </c>
      <c r="J10" s="9"/>
    </row>
    <row r="11">
      <c r="B11" s="9" t="s">
        <v>69</v>
      </c>
      <c r="C11" s="9" t="s">
        <v>93</v>
      </c>
      <c r="D11" s="9" t="s">
        <v>88</v>
      </c>
      <c r="E11" s="45">
        <v>393.63</v>
      </c>
      <c r="F11" s="46">
        <f>E11*'Parámetros'!$C$6</f>
        <v>1467952.55</v>
      </c>
      <c r="G11" s="47"/>
      <c r="H11" s="46">
        <f t="shared" si="1"/>
        <v>-1467952.55</v>
      </c>
      <c r="I11" s="38">
        <f t="shared" si="2"/>
        <v>-1</v>
      </c>
      <c r="J11" s="9"/>
    </row>
    <row r="12">
      <c r="B12" s="9" t="s">
        <v>70</v>
      </c>
      <c r="C12" s="9" t="s">
        <v>94</v>
      </c>
      <c r="D12" s="9" t="s">
        <v>88</v>
      </c>
      <c r="E12" s="45">
        <v>25.92</v>
      </c>
      <c r="F12" s="46">
        <f>E12*'Parámetros'!$C$6</f>
        <v>96662.6784</v>
      </c>
      <c r="G12" s="47"/>
      <c r="H12" s="46">
        <f t="shared" si="1"/>
        <v>-96662.6784</v>
      </c>
      <c r="I12" s="38">
        <f t="shared" si="2"/>
        <v>-1</v>
      </c>
      <c r="J12" s="9"/>
    </row>
    <row r="14">
      <c r="B14" s="48" t="s">
        <v>95</v>
      </c>
      <c r="C14" s="4"/>
      <c r="D14" s="49"/>
      <c r="E14" s="40">
        <f t="shared" ref="E14:G14" si="3">SUM(E6:E12)</f>
        <v>4682.21</v>
      </c>
      <c r="F14" s="33">
        <f t="shared" si="3"/>
        <v>17461225.29</v>
      </c>
      <c r="G14" s="33">
        <f t="shared" si="3"/>
        <v>0</v>
      </c>
      <c r="H14" s="33">
        <f>G14-F14</f>
        <v>-17461225.29</v>
      </c>
      <c r="I14" s="50"/>
      <c r="J14" s="50"/>
    </row>
    <row r="16" ht="15.0" customHeight="1">
      <c r="B16" s="3" t="s">
        <v>96</v>
      </c>
      <c r="C16" s="4"/>
      <c r="D16" s="4"/>
      <c r="E16" s="4"/>
      <c r="F16" s="4"/>
      <c r="G16" s="4"/>
      <c r="H16" s="4"/>
      <c r="I16" s="4"/>
      <c r="J16" s="5"/>
    </row>
    <row r="17">
      <c r="B17" s="29" t="s">
        <v>63</v>
      </c>
      <c r="C17" s="29" t="s">
        <v>97</v>
      </c>
      <c r="D17" s="29" t="s">
        <v>65</v>
      </c>
      <c r="E17" s="29" t="s">
        <v>98</v>
      </c>
    </row>
    <row r="18">
      <c r="B18" s="6" t="s">
        <v>68</v>
      </c>
      <c r="C18" s="51">
        <f>SUMIF(B6:B12,B18,E6:E12)</f>
        <v>3245.7</v>
      </c>
      <c r="D18" s="52">
        <f>SUMIF(B6:B12,B18,F6:F12)</f>
        <v>12104091.64</v>
      </c>
      <c r="E18" s="52">
        <f>SUMIF(B6:B12,B18,G6:G12)</f>
        <v>0</v>
      </c>
    </row>
    <row r="19">
      <c r="B19" s="6" t="s">
        <v>69</v>
      </c>
      <c r="C19" s="51">
        <f>SUMIF(B6:B12,B19,E6:E12)</f>
        <v>1410.59</v>
      </c>
      <c r="D19" s="52">
        <f>SUMIF(B6:B12,B19,F6:F12)</f>
        <v>5260470.969</v>
      </c>
      <c r="E19" s="52">
        <f>SUMIF(B6:B12,B19,G6:G12)</f>
        <v>0</v>
      </c>
    </row>
    <row r="20">
      <c r="B20" s="6" t="s">
        <v>70</v>
      </c>
      <c r="C20" s="51">
        <f>SUMIF(B6:B12,B20,E6:E12)</f>
        <v>25.92</v>
      </c>
      <c r="D20" s="52">
        <f>SUMIF(B6:B12,B20,F6:F12)</f>
        <v>96662.6784</v>
      </c>
      <c r="E20" s="52">
        <f>SUMIF(B6:B12,B20,G6:G12)</f>
        <v>0</v>
      </c>
    </row>
    <row r="21" ht="15.75" customHeight="1"/>
    <row r="22" ht="15.75" customHeight="1">
      <c r="E22" s="53" t="s">
        <v>99</v>
      </c>
      <c r="F22" s="5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I2"/>
    <mergeCell ref="B3:I3"/>
    <mergeCell ref="B14:D14"/>
    <mergeCell ref="B16:J1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4.0"/>
    <col customWidth="1" min="3" max="3" width="32.0"/>
    <col customWidth="1" min="4" max="4" width="16.0"/>
    <col customWidth="1" min="5" max="5" width="18.0"/>
    <col customWidth="1" min="6" max="6" width="28.0"/>
    <col customWidth="1" min="7" max="26" width="8.71"/>
  </cols>
  <sheetData>
    <row r="2">
      <c r="B2" s="42" t="s">
        <v>100</v>
      </c>
    </row>
    <row r="3">
      <c r="B3" s="43" t="s">
        <v>101</v>
      </c>
    </row>
    <row r="5" ht="27.75" customHeight="1">
      <c r="B5" s="44" t="s">
        <v>102</v>
      </c>
      <c r="C5" s="44" t="s">
        <v>103</v>
      </c>
      <c r="D5" s="44" t="s">
        <v>104</v>
      </c>
      <c r="E5" s="44" t="s">
        <v>65</v>
      </c>
      <c r="F5" s="44" t="s">
        <v>86</v>
      </c>
    </row>
    <row r="6">
      <c r="B6" s="9" t="s">
        <v>105</v>
      </c>
      <c r="C6" s="55" t="s">
        <v>106</v>
      </c>
      <c r="D6" s="56">
        <v>15.85</v>
      </c>
      <c r="E6" s="46">
        <f>D6*'Parámetros'!$C$6</f>
        <v>59108.9295</v>
      </c>
      <c r="F6" s="9"/>
    </row>
    <row r="7">
      <c r="B7" s="9" t="s">
        <v>107</v>
      </c>
      <c r="C7" s="55" t="s">
        <v>108</v>
      </c>
      <c r="D7" s="56">
        <v>22.61</v>
      </c>
      <c r="E7" s="46">
        <f>D7*'Parámetros'!$C$6</f>
        <v>84318.7947</v>
      </c>
      <c r="F7" s="9"/>
    </row>
    <row r="8">
      <c r="B8" s="9" t="s">
        <v>109</v>
      </c>
      <c r="C8" s="55" t="s">
        <v>110</v>
      </c>
      <c r="D8" s="56">
        <v>22.61</v>
      </c>
      <c r="E8" s="46">
        <f>D8*'Parámetros'!$C$6</f>
        <v>84318.7947</v>
      </c>
      <c r="F8" s="9"/>
    </row>
    <row r="9">
      <c r="B9" s="9" t="s">
        <v>111</v>
      </c>
      <c r="C9" s="55" t="s">
        <v>112</v>
      </c>
      <c r="D9" s="56">
        <v>1.45</v>
      </c>
      <c r="E9" s="46">
        <f>D9*'Parámetros'!$C$6</f>
        <v>5407.4415</v>
      </c>
      <c r="F9" s="9"/>
    </row>
    <row r="10">
      <c r="B10" s="9" t="s">
        <v>111</v>
      </c>
      <c r="C10" s="55" t="s">
        <v>113</v>
      </c>
      <c r="D10" s="56">
        <v>11.33</v>
      </c>
      <c r="E10" s="46">
        <f>D10*'Parámetros'!$C$6</f>
        <v>42252.6291</v>
      </c>
      <c r="F10" s="9"/>
    </row>
    <row r="11">
      <c r="B11" s="9" t="s">
        <v>111</v>
      </c>
      <c r="C11" s="55" t="s">
        <v>114</v>
      </c>
      <c r="D11" s="56">
        <v>5.66</v>
      </c>
      <c r="E11" s="46">
        <f>D11*'Parámetros'!$C$6</f>
        <v>21107.6682</v>
      </c>
      <c r="F11" s="9"/>
    </row>
    <row r="12">
      <c r="B12" s="9" t="s">
        <v>111</v>
      </c>
      <c r="C12" s="55" t="s">
        <v>115</v>
      </c>
      <c r="D12" s="56">
        <v>2.83</v>
      </c>
      <c r="E12" s="46">
        <f>D12*'Parámetros'!$C$6</f>
        <v>10553.8341</v>
      </c>
      <c r="F12" s="9"/>
    </row>
    <row r="13">
      <c r="B13" s="9" t="s">
        <v>111</v>
      </c>
      <c r="C13" s="55" t="s">
        <v>116</v>
      </c>
      <c r="D13" s="56">
        <v>1.42</v>
      </c>
      <c r="E13" s="46">
        <f>D13*'Parámetros'!$C$6</f>
        <v>5295.5634</v>
      </c>
      <c r="F13" s="9"/>
    </row>
    <row r="14">
      <c r="B14" s="9" t="s">
        <v>117</v>
      </c>
      <c r="C14" s="55" t="s">
        <v>118</v>
      </c>
      <c r="D14" s="56">
        <v>22.61</v>
      </c>
      <c r="E14" s="46">
        <f>D14*'Parámetros'!$C$6</f>
        <v>84318.7947</v>
      </c>
      <c r="F14" s="9"/>
    </row>
    <row r="15">
      <c r="B15" s="9" t="s">
        <v>119</v>
      </c>
      <c r="C15" s="55" t="s">
        <v>120</v>
      </c>
      <c r="D15" s="56">
        <v>1.62</v>
      </c>
      <c r="E15" s="46">
        <f>D15*'Parámetros'!$C$6</f>
        <v>6041.4174</v>
      </c>
      <c r="F15" s="9"/>
    </row>
    <row r="16">
      <c r="B16" s="9" t="s">
        <v>119</v>
      </c>
      <c r="C16" s="55" t="s">
        <v>121</v>
      </c>
      <c r="D16" s="56">
        <v>12.85</v>
      </c>
      <c r="E16" s="46">
        <f>D16*'Parámetros'!$C$6</f>
        <v>47921.1195</v>
      </c>
      <c r="F16" s="9"/>
    </row>
    <row r="17">
      <c r="B17" s="9" t="s">
        <v>119</v>
      </c>
      <c r="C17" s="55" t="s">
        <v>122</v>
      </c>
      <c r="D17" s="56">
        <v>6.43</v>
      </c>
      <c r="E17" s="46">
        <f>D17*'Parámetros'!$C$6</f>
        <v>23979.2061</v>
      </c>
      <c r="F17" s="9"/>
    </row>
    <row r="18">
      <c r="B18" s="9" t="s">
        <v>119</v>
      </c>
      <c r="C18" s="55" t="s">
        <v>123</v>
      </c>
      <c r="D18" s="56">
        <v>3.21</v>
      </c>
      <c r="E18" s="46">
        <f>D18*'Parámetros'!$C$6</f>
        <v>11970.9567</v>
      </c>
      <c r="F18" s="9"/>
    </row>
    <row r="19">
      <c r="B19" s="9" t="s">
        <v>119</v>
      </c>
      <c r="C19" s="55" t="s">
        <v>124</v>
      </c>
      <c r="D19" s="56">
        <v>1.61</v>
      </c>
      <c r="E19" s="46">
        <f>D19*'Parámetros'!$C$6</f>
        <v>6004.1247</v>
      </c>
      <c r="F19" s="9"/>
    </row>
    <row r="20">
      <c r="B20" s="9" t="s">
        <v>125</v>
      </c>
      <c r="C20" s="55" t="s">
        <v>126</v>
      </c>
      <c r="D20" s="56">
        <v>2.81</v>
      </c>
      <c r="E20" s="46">
        <f>D20*'Parámetros'!$C$6</f>
        <v>10479.2487</v>
      </c>
      <c r="F20" s="9"/>
    </row>
    <row r="21" ht="15.75" customHeight="1">
      <c r="B21" s="9" t="s">
        <v>125</v>
      </c>
      <c r="C21" s="55" t="s">
        <v>127</v>
      </c>
      <c r="D21" s="56">
        <v>1.4</v>
      </c>
      <c r="E21" s="46">
        <f>D21*'Parámetros'!$C$6</f>
        <v>5220.978</v>
      </c>
      <c r="F21" s="9"/>
    </row>
    <row r="22" ht="15.75" customHeight="1">
      <c r="B22" s="9" t="s">
        <v>128</v>
      </c>
      <c r="C22" s="55" t="s">
        <v>129</v>
      </c>
      <c r="D22" s="56">
        <v>22.61</v>
      </c>
      <c r="E22" s="46">
        <f>D22*'Parámetros'!$C$6</f>
        <v>84318.7947</v>
      </c>
      <c r="F22" s="9"/>
    </row>
    <row r="23" ht="15.75" customHeight="1">
      <c r="B23" s="9" t="s">
        <v>130</v>
      </c>
      <c r="C23" s="55" t="s">
        <v>131</v>
      </c>
      <c r="D23" s="56">
        <v>22.61</v>
      </c>
      <c r="E23" s="46">
        <f>D23*'Parámetros'!$C$6</f>
        <v>84318.7947</v>
      </c>
      <c r="F23" s="9"/>
    </row>
    <row r="24" ht="15.75" customHeight="1">
      <c r="B24" s="9" t="s">
        <v>132</v>
      </c>
      <c r="C24" s="55" t="s">
        <v>133</v>
      </c>
      <c r="D24" s="56">
        <v>22.61</v>
      </c>
      <c r="E24" s="46">
        <f>D24*'Parámetros'!$C$6</f>
        <v>84318.7947</v>
      </c>
      <c r="F24" s="9"/>
    </row>
    <row r="25" ht="15.75" customHeight="1">
      <c r="B25" s="9" t="s">
        <v>134</v>
      </c>
      <c r="C25" s="55" t="s">
        <v>135</v>
      </c>
      <c r="D25" s="56">
        <v>16.66</v>
      </c>
      <c r="E25" s="46">
        <f>D25*'Parámetros'!$C$6</f>
        <v>62129.6382</v>
      </c>
      <c r="F25" s="9"/>
    </row>
    <row r="26" ht="15.75" customHeight="1">
      <c r="B26" s="9" t="s">
        <v>136</v>
      </c>
      <c r="C26" s="55" t="s">
        <v>137</v>
      </c>
      <c r="D26" s="56">
        <v>13.09</v>
      </c>
      <c r="E26" s="46">
        <f>D26*'Parámetros'!$C$6</f>
        <v>48816.1443</v>
      </c>
      <c r="F26" s="9"/>
    </row>
    <row r="27" ht="15.75" customHeight="1">
      <c r="B27" s="9" t="s">
        <v>136</v>
      </c>
      <c r="C27" s="55" t="s">
        <v>138</v>
      </c>
      <c r="D27" s="56">
        <v>19.04</v>
      </c>
      <c r="E27" s="46">
        <f>D27*'Parámetros'!$C$6</f>
        <v>71005.3008</v>
      </c>
      <c r="F27" s="9"/>
    </row>
    <row r="28" ht="15.75" customHeight="1">
      <c r="B28" s="9" t="s">
        <v>139</v>
      </c>
      <c r="C28" s="55" t="s">
        <v>140</v>
      </c>
      <c r="D28" s="56">
        <v>15.47</v>
      </c>
      <c r="E28" s="46">
        <f>D28*'Parámetros'!$C$6</f>
        <v>57691.8069</v>
      </c>
      <c r="F28" s="9"/>
    </row>
    <row r="29" ht="15.75" customHeight="1">
      <c r="B29" s="9" t="s">
        <v>141</v>
      </c>
      <c r="C29" s="55" t="s">
        <v>142</v>
      </c>
      <c r="D29" s="56">
        <v>28.56</v>
      </c>
      <c r="E29" s="46">
        <f>D29*'Parámetros'!$C$6</f>
        <v>106507.9512</v>
      </c>
      <c r="F29" s="9"/>
    </row>
    <row r="30" ht="15.75" customHeight="1">
      <c r="B30" s="9" t="s">
        <v>141</v>
      </c>
      <c r="C30" s="55" t="s">
        <v>143</v>
      </c>
      <c r="D30" s="56">
        <v>28.56</v>
      </c>
      <c r="E30" s="46">
        <f>D30*'Parámetros'!$C$6</f>
        <v>106507.9512</v>
      </c>
      <c r="F30" s="9"/>
    </row>
    <row r="31" ht="15.75" customHeight="1"/>
    <row r="32" ht="15.75" customHeight="1">
      <c r="B32" s="48" t="s">
        <v>144</v>
      </c>
      <c r="C32" s="5"/>
      <c r="D32" s="40">
        <f t="shared" ref="D32:E32" si="1">SUM(D6:D30)</f>
        <v>325.51</v>
      </c>
      <c r="E32" s="33">
        <f t="shared" si="1"/>
        <v>1213914.678</v>
      </c>
      <c r="F32" s="50"/>
    </row>
    <row r="33" ht="15.75" customHeight="1"/>
    <row r="34" ht="15.75" customHeight="1"/>
    <row r="35" ht="15.0" customHeight="1">
      <c r="B35" s="3" t="s">
        <v>145</v>
      </c>
      <c r="C35" s="4"/>
      <c r="D35" s="4"/>
      <c r="E35" s="4"/>
      <c r="F35" s="5"/>
    </row>
    <row r="36" ht="15.75" customHeight="1">
      <c r="B36" s="29" t="s">
        <v>81</v>
      </c>
      <c r="C36" s="29" t="s">
        <v>146</v>
      </c>
      <c r="D36" s="29" t="s">
        <v>147</v>
      </c>
      <c r="E36" s="29" t="s">
        <v>148</v>
      </c>
      <c r="F36" s="29" t="s">
        <v>86</v>
      </c>
    </row>
    <row r="37" ht="15.75" customHeight="1">
      <c r="B37" s="6" t="s">
        <v>149</v>
      </c>
      <c r="C37" s="45"/>
      <c r="D37" s="47"/>
      <c r="E37" s="46">
        <f>IFERROR(D37-E32,0)</f>
        <v>-1213914.678</v>
      </c>
      <c r="F37" s="11" t="s">
        <v>150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3:F3"/>
    <mergeCell ref="B32:C32"/>
    <mergeCell ref="B35:F3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18.0"/>
    <col customWidth="1" min="4" max="4" width="14.0"/>
    <col customWidth="1" min="5" max="5" width="11.0"/>
    <col customWidth="1" min="6" max="7" width="16.0"/>
    <col customWidth="1" min="8" max="8" width="18.0"/>
    <col customWidth="1" min="9" max="9" width="32.0"/>
    <col customWidth="1" min="10" max="26" width="8.71"/>
  </cols>
  <sheetData>
    <row r="2">
      <c r="B2" s="42" t="s">
        <v>151</v>
      </c>
    </row>
    <row r="3">
      <c r="B3" s="43" t="s">
        <v>152</v>
      </c>
    </row>
    <row r="5" ht="36.0" customHeight="1">
      <c r="B5" s="44" t="s">
        <v>81</v>
      </c>
      <c r="C5" s="44" t="s">
        <v>153</v>
      </c>
      <c r="D5" s="44" t="s">
        <v>154</v>
      </c>
      <c r="E5" s="44" t="s">
        <v>155</v>
      </c>
      <c r="F5" s="44" t="s">
        <v>156</v>
      </c>
      <c r="G5" s="44" t="s">
        <v>157</v>
      </c>
      <c r="H5" s="44" t="s">
        <v>158</v>
      </c>
      <c r="I5" s="44" t="s">
        <v>86</v>
      </c>
    </row>
    <row r="6">
      <c r="B6" s="9" t="s">
        <v>159</v>
      </c>
      <c r="C6" s="11" t="s">
        <v>160</v>
      </c>
      <c r="D6" s="11" t="s">
        <v>161</v>
      </c>
      <c r="E6" s="57">
        <v>3.0</v>
      </c>
      <c r="F6" s="45">
        <v>99.0</v>
      </c>
      <c r="G6" s="47"/>
      <c r="H6" s="46">
        <f>IFERROR(IF(E6="",1,E6),1)*(IFERROR(IF(F6="",0,F6*'Parámetros'!$C$6),0)+IFERROR(IF(G6="",0,G6),0))</f>
        <v>1107593.19</v>
      </c>
      <c r="I6" s="11" t="s">
        <v>162</v>
      </c>
    </row>
    <row r="7">
      <c r="B7" s="9" t="s">
        <v>163</v>
      </c>
      <c r="C7" s="11" t="s">
        <v>164</v>
      </c>
      <c r="D7" s="11" t="s">
        <v>161</v>
      </c>
      <c r="E7" s="57">
        <v>3.0</v>
      </c>
      <c r="F7" s="45">
        <v>49.0</v>
      </c>
      <c r="G7" s="47"/>
      <c r="H7" s="46">
        <f>IFERROR(IF(E7="",1,E7),1)*(IFERROR(IF(F7="",0,F7*'Parámetros'!$C$6),0)+IFERROR(IF(G7="",0,G7),0))</f>
        <v>548202.69</v>
      </c>
      <c r="I7" s="11" t="s">
        <v>165</v>
      </c>
    </row>
    <row r="8">
      <c r="B8" s="9" t="s">
        <v>166</v>
      </c>
      <c r="C8" s="11" t="s">
        <v>167</v>
      </c>
      <c r="D8" s="11" t="s">
        <v>161</v>
      </c>
      <c r="E8" s="57">
        <v>3.0</v>
      </c>
      <c r="F8" s="45">
        <v>15.0</v>
      </c>
      <c r="G8" s="47"/>
      <c r="H8" s="46">
        <f>IFERROR(IF(E8="",1,E8),1)*(IFERROR(IF(F8="",0,F8*'Parámetros'!$C$6),0)+IFERROR(IF(G8="",0,G8),0))</f>
        <v>167817.15</v>
      </c>
      <c r="I8" s="11" t="s">
        <v>168</v>
      </c>
    </row>
    <row r="9">
      <c r="B9" s="9" t="s">
        <v>169</v>
      </c>
      <c r="C9" s="11" t="s">
        <v>170</v>
      </c>
      <c r="D9" s="11" t="s">
        <v>171</v>
      </c>
      <c r="E9" s="57">
        <v>1.0</v>
      </c>
      <c r="F9" s="58">
        <v>325.51</v>
      </c>
      <c r="G9" s="59">
        <f>IFERROR(IF('Pauta Meta'!D37="",0,'Pauta Meta'!D37),0)</f>
        <v>0</v>
      </c>
      <c r="H9" s="46">
        <f>IF(G9&gt;0,G9,'Pauta Meta'!E32)</f>
        <v>1213914.678</v>
      </c>
      <c r="I9" s="11" t="s">
        <v>172</v>
      </c>
    </row>
    <row r="10">
      <c r="B10" s="9" t="s">
        <v>173</v>
      </c>
      <c r="C10" s="11" t="s">
        <v>174</v>
      </c>
      <c r="D10" s="11" t="s">
        <v>175</v>
      </c>
      <c r="E10" s="57">
        <v>1.0</v>
      </c>
      <c r="F10" s="45"/>
      <c r="G10" s="47">
        <v>900000.0</v>
      </c>
      <c r="H10" s="46">
        <f>IFERROR(IF(E10="",1,E10),1)*(IFERROR(IF(F10="",0,F10*'Parámetros'!$C$6),0)+IFERROR(IF(G10="",0,G10),0))</f>
        <v>900000</v>
      </c>
      <c r="I10" s="11" t="s">
        <v>176</v>
      </c>
    </row>
    <row r="11">
      <c r="B11" s="9" t="s">
        <v>177</v>
      </c>
      <c r="C11" s="11" t="s">
        <v>174</v>
      </c>
      <c r="D11" s="11" t="s">
        <v>178</v>
      </c>
      <c r="E11" s="57">
        <v>1.0</v>
      </c>
      <c r="F11" s="45"/>
      <c r="G11" s="47"/>
      <c r="H11" s="46">
        <f>IFERROR(IF(E11="",1,E11),1)*(IFERROR(IF(F11="",0,F11*'Parámetros'!$C$6),0)+IFERROR(IF(G11="",0,G11),0))</f>
        <v>0</v>
      </c>
      <c r="I11" s="11" t="s">
        <v>179</v>
      </c>
    </row>
    <row r="12">
      <c r="B12" s="9" t="s">
        <v>180</v>
      </c>
      <c r="C12" s="11" t="s">
        <v>174</v>
      </c>
      <c r="D12" s="11" t="s">
        <v>181</v>
      </c>
      <c r="E12" s="57">
        <v>1.0</v>
      </c>
      <c r="F12" s="45"/>
      <c r="G12" s="47"/>
      <c r="H12" s="46">
        <f>IFERROR(IF(E12="",1,E12),1)*(IFERROR(IF(F12="",0,F12*'Parámetros'!$C$6),0)+IFERROR(IF(G12="",0,G12),0))</f>
        <v>0</v>
      </c>
      <c r="I12" s="11" t="s">
        <v>182</v>
      </c>
    </row>
    <row r="13">
      <c r="B13" s="9" t="s">
        <v>183</v>
      </c>
      <c r="C13" s="11" t="s">
        <v>184</v>
      </c>
      <c r="D13" s="11" t="s">
        <v>185</v>
      </c>
      <c r="E13" s="57">
        <v>1.0</v>
      </c>
      <c r="F13" s="45"/>
      <c r="G13" s="47"/>
      <c r="H13" s="46">
        <f>IFERROR(IF(E13="",1,E13),1)*(IFERROR(IF(F13="",0,F13*'Parámetros'!$C$6),0)+IFERROR(IF(G13="",0,G13),0))</f>
        <v>0</v>
      </c>
      <c r="I13" s="11" t="s">
        <v>186</v>
      </c>
    </row>
    <row r="14">
      <c r="B14" s="9" t="s">
        <v>187</v>
      </c>
      <c r="C14" s="11" t="s">
        <v>184</v>
      </c>
      <c r="D14" s="11" t="s">
        <v>185</v>
      </c>
      <c r="E14" s="57">
        <v>1.0</v>
      </c>
      <c r="F14" s="45"/>
      <c r="G14" s="47"/>
      <c r="H14" s="46">
        <f>IFERROR(IF(E14="",1,E14),1)*(IFERROR(IF(F14="",0,F14*'Parámetros'!$C$6),0)+IFERROR(IF(G14="",0,G14),0))</f>
        <v>0</v>
      </c>
      <c r="I14" s="11" t="s">
        <v>186</v>
      </c>
    </row>
    <row r="16">
      <c r="B16" s="48" t="s">
        <v>188</v>
      </c>
      <c r="C16" s="4"/>
      <c r="D16" s="4"/>
      <c r="E16" s="4"/>
      <c r="F16" s="4"/>
      <c r="G16" s="5"/>
      <c r="H16" s="33">
        <f>SUM(H6:H14)</f>
        <v>3937527.708</v>
      </c>
      <c r="I16" s="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I2"/>
    <mergeCell ref="B3:I3"/>
    <mergeCell ref="B16:G1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2.0"/>
    <col customWidth="1" min="3" max="3" width="16.0"/>
    <col customWidth="1" min="4" max="5" width="14.0"/>
    <col customWidth="1" min="6" max="7" width="18.0"/>
    <col customWidth="1" min="8" max="8" width="14.0"/>
    <col customWidth="1" min="9" max="9" width="30.0"/>
    <col customWidth="1" min="10" max="26" width="8.71"/>
  </cols>
  <sheetData>
    <row r="2">
      <c r="B2" s="42" t="s">
        <v>189</v>
      </c>
    </row>
    <row r="3">
      <c r="B3" s="43" t="s">
        <v>190</v>
      </c>
    </row>
    <row r="5" ht="31.5" customHeight="1">
      <c r="B5" s="44" t="s">
        <v>81</v>
      </c>
      <c r="C5" s="44" t="s">
        <v>153</v>
      </c>
      <c r="D5" s="44" t="s">
        <v>191</v>
      </c>
      <c r="E5" s="44" t="s">
        <v>192</v>
      </c>
      <c r="F5" s="44" t="s">
        <v>193</v>
      </c>
      <c r="G5" s="44" t="s">
        <v>194</v>
      </c>
      <c r="H5" s="44" t="s">
        <v>195</v>
      </c>
      <c r="I5" s="44" t="s">
        <v>86</v>
      </c>
    </row>
    <row r="6">
      <c r="B6" s="9" t="s">
        <v>196</v>
      </c>
      <c r="C6" s="11" t="s">
        <v>174</v>
      </c>
      <c r="D6" s="60">
        <v>10.0</v>
      </c>
      <c r="E6" s="45">
        <v>18.0</v>
      </c>
      <c r="F6" s="47"/>
      <c r="G6" s="56">
        <f t="shared" ref="G6:G9" si="1">IFERROR(IF(D6="",0,D6)*IF(E6="",0,E6),0)</f>
        <v>180</v>
      </c>
      <c r="H6" s="46">
        <f>G6*'Parámetros'!$C$6+IFERROR(IF(D6="",0,D6)*IF(F6="",0,F6),0)</f>
        <v>671268.6</v>
      </c>
      <c r="I6" s="11" t="s">
        <v>197</v>
      </c>
    </row>
    <row r="7">
      <c r="B7" s="9" t="s">
        <v>198</v>
      </c>
      <c r="C7" s="11" t="s">
        <v>184</v>
      </c>
      <c r="D7" s="60"/>
      <c r="E7" s="45"/>
      <c r="F7" s="47"/>
      <c r="G7" s="56">
        <f t="shared" si="1"/>
        <v>0</v>
      </c>
      <c r="H7" s="46">
        <f>G7*'Parámetros'!$C$6+IFERROR(IF(D7="",0,D7)*IF(F7="",0,F7),0)</f>
        <v>0</v>
      </c>
      <c r="I7" s="11"/>
    </row>
    <row r="8">
      <c r="B8" s="9" t="s">
        <v>199</v>
      </c>
      <c r="C8" s="11" t="s">
        <v>184</v>
      </c>
      <c r="D8" s="60"/>
      <c r="E8" s="45"/>
      <c r="F8" s="47"/>
      <c r="G8" s="56">
        <f t="shared" si="1"/>
        <v>0</v>
      </c>
      <c r="H8" s="46">
        <f>G8*'Parámetros'!$C$6+IFERROR(IF(D8="",0,D8)*IF(F8="",0,F8),0)</f>
        <v>0</v>
      </c>
      <c r="I8" s="11"/>
    </row>
    <row r="9">
      <c r="B9" s="9" t="s">
        <v>200</v>
      </c>
      <c r="C9" s="11" t="s">
        <v>184</v>
      </c>
      <c r="D9" s="60"/>
      <c r="E9" s="45"/>
      <c r="F9" s="47"/>
      <c r="G9" s="56">
        <f t="shared" si="1"/>
        <v>0</v>
      </c>
      <c r="H9" s="46">
        <f>G9*'Parámetros'!$C$6+IFERROR(IF(D9="",0,D9)*IF(F9="",0,F9),0)</f>
        <v>0</v>
      </c>
      <c r="I9" s="11"/>
    </row>
    <row r="11">
      <c r="B11" s="48" t="s">
        <v>201</v>
      </c>
      <c r="C11" s="4"/>
      <c r="D11" s="4"/>
      <c r="E11" s="4"/>
      <c r="F11" s="5"/>
      <c r="G11" s="40">
        <f t="shared" ref="G11:H11" si="2">SUM(G6:G9)</f>
        <v>180</v>
      </c>
      <c r="H11" s="33">
        <f t="shared" si="2"/>
        <v>671268.6</v>
      </c>
      <c r="I11" s="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I2"/>
    <mergeCell ref="B3:I3"/>
    <mergeCell ref="B11:F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22.0"/>
    <col customWidth="1" min="5" max="5" width="30.0"/>
    <col customWidth="1" min="6" max="26" width="8.71"/>
  </cols>
  <sheetData>
    <row r="2" ht="24.0" customHeight="1">
      <c r="B2" s="19" t="s">
        <v>202</v>
      </c>
    </row>
    <row r="3">
      <c r="B3" s="2" t="s">
        <v>203</v>
      </c>
    </row>
    <row r="5" ht="15.0" customHeight="1">
      <c r="B5" s="3" t="s">
        <v>204</v>
      </c>
      <c r="C5" s="4"/>
      <c r="D5" s="4"/>
      <c r="E5" s="5"/>
    </row>
    <row r="6">
      <c r="B6" s="29" t="s">
        <v>81</v>
      </c>
      <c r="C6" s="29" t="s">
        <v>146</v>
      </c>
      <c r="D6" s="29" t="s">
        <v>205</v>
      </c>
      <c r="E6" s="29" t="s">
        <v>86</v>
      </c>
    </row>
    <row r="7">
      <c r="B7" s="61" t="s">
        <v>206</v>
      </c>
      <c r="C7" s="36">
        <f>'Ingresos Skool'!E14</f>
        <v>4682.21</v>
      </c>
      <c r="D7" s="37">
        <f>'Ingresos Skool'!F14</f>
        <v>17461225.29</v>
      </c>
      <c r="E7" s="11" t="s">
        <v>207</v>
      </c>
    </row>
    <row r="8">
      <c r="B8" s="61" t="s">
        <v>208</v>
      </c>
      <c r="C8" s="62" t="s">
        <v>185</v>
      </c>
      <c r="D8" s="37">
        <f>'Ingresos Skool'!G14</f>
        <v>0</v>
      </c>
      <c r="E8" s="11" t="s">
        <v>209</v>
      </c>
    </row>
    <row r="9">
      <c r="B9" s="34" t="s">
        <v>210</v>
      </c>
      <c r="C9" s="40">
        <f>'Ingresos Skool'!E14</f>
        <v>4682.21</v>
      </c>
      <c r="D9" s="33">
        <f>IF(D8&gt;0,D8,D7)</f>
        <v>17461225.29</v>
      </c>
      <c r="E9" s="63" t="s">
        <v>211</v>
      </c>
    </row>
    <row r="11" ht="15.0" customHeight="1">
      <c r="B11" s="3" t="s">
        <v>212</v>
      </c>
      <c r="C11" s="4"/>
      <c r="D11" s="4"/>
      <c r="E11" s="5"/>
    </row>
    <row r="12">
      <c r="B12" s="29" t="s">
        <v>81</v>
      </c>
      <c r="C12" s="29" t="s">
        <v>213</v>
      </c>
      <c r="D12" s="29" t="s">
        <v>205</v>
      </c>
      <c r="E12" s="29" t="s">
        <v>86</v>
      </c>
    </row>
    <row r="13">
      <c r="B13" s="64" t="s">
        <v>214</v>
      </c>
      <c r="C13" s="65" t="s">
        <v>215</v>
      </c>
      <c r="D13" s="37">
        <f>'Gastos Lina'!H16</f>
        <v>3937527.708</v>
      </c>
      <c r="E13" s="11" t="s">
        <v>216</v>
      </c>
    </row>
    <row r="14">
      <c r="B14" s="64" t="s">
        <v>217</v>
      </c>
      <c r="C14" s="65" t="s">
        <v>218</v>
      </c>
      <c r="D14" s="37">
        <f>'Gastos JoinsClee'!H11</f>
        <v>671268.6</v>
      </c>
      <c r="E14" s="11" t="s">
        <v>219</v>
      </c>
    </row>
    <row r="15">
      <c r="B15" s="34" t="s">
        <v>220</v>
      </c>
      <c r="C15" s="66" t="s">
        <v>185</v>
      </c>
      <c r="D15" s="33">
        <f>D13+D14</f>
        <v>4608796.308</v>
      </c>
      <c r="E15" s="63" t="s">
        <v>221</v>
      </c>
    </row>
    <row r="17" ht="15.0" customHeight="1">
      <c r="B17" s="3" t="s">
        <v>222</v>
      </c>
      <c r="C17" s="4"/>
      <c r="D17" s="4"/>
      <c r="E17" s="5"/>
    </row>
    <row r="18" ht="27.75" customHeight="1">
      <c r="B18" s="67" t="s">
        <v>223</v>
      </c>
      <c r="C18" s="5"/>
      <c r="D18" s="68">
        <f>D9-D15</f>
        <v>12852428.98</v>
      </c>
      <c r="E18" s="27" t="s">
        <v>224</v>
      </c>
    </row>
    <row r="20" ht="15.0" customHeight="1">
      <c r="B20" s="3" t="s">
        <v>225</v>
      </c>
      <c r="C20" s="4"/>
      <c r="D20" s="4"/>
      <c r="E20" s="5"/>
    </row>
    <row r="21" ht="15.75" customHeight="1">
      <c r="B21" s="29" t="s">
        <v>54</v>
      </c>
      <c r="C21" s="29" t="s">
        <v>226</v>
      </c>
      <c r="D21" s="29" t="s">
        <v>56</v>
      </c>
      <c r="E21" s="29" t="s">
        <v>86</v>
      </c>
    </row>
    <row r="22" ht="15.75" customHeight="1">
      <c r="B22" s="30" t="s">
        <v>59</v>
      </c>
      <c r="C22" s="31">
        <f>'Parámetros'!$C$7</f>
        <v>0.7</v>
      </c>
      <c r="D22" s="52">
        <f t="shared" ref="D22:D23" si="1">$D$18*C22</f>
        <v>8996700.285</v>
      </c>
      <c r="E22" s="11" t="s">
        <v>227</v>
      </c>
    </row>
    <row r="23" ht="15.75" customHeight="1">
      <c r="B23" s="30" t="s">
        <v>60</v>
      </c>
      <c r="C23" s="31">
        <f>'Parámetros'!$C$8</f>
        <v>0.3</v>
      </c>
      <c r="D23" s="52">
        <f t="shared" si="1"/>
        <v>3855728.694</v>
      </c>
      <c r="E23" s="11" t="s">
        <v>228</v>
      </c>
    </row>
    <row r="24" ht="15.75" customHeight="1">
      <c r="B24" s="11" t="s">
        <v>229</v>
      </c>
      <c r="C24" s="12">
        <f t="shared" ref="C24:D24" si="2">C22+C23</f>
        <v>1</v>
      </c>
      <c r="D24" s="52">
        <f t="shared" si="2"/>
        <v>12852428.98</v>
      </c>
      <c r="E24" s="9"/>
    </row>
    <row r="25" ht="15.75" customHeight="1"/>
    <row r="26" ht="15.0" customHeight="1">
      <c r="B26" s="3" t="s">
        <v>230</v>
      </c>
      <c r="C26" s="4"/>
      <c r="D26" s="4"/>
      <c r="E26" s="5"/>
    </row>
    <row r="27" ht="15.75" customHeight="1">
      <c r="B27" s="29" t="s">
        <v>81</v>
      </c>
      <c r="C27" s="29" t="s">
        <v>231</v>
      </c>
      <c r="D27" s="29" t="s">
        <v>218</v>
      </c>
      <c r="E27" s="29" t="s">
        <v>86</v>
      </c>
    </row>
    <row r="28" ht="15.75" customHeight="1">
      <c r="B28" s="61" t="s">
        <v>232</v>
      </c>
      <c r="C28" s="32">
        <f>'Gastos Lina'!H16</f>
        <v>3937527.708</v>
      </c>
      <c r="D28" s="32">
        <f>'Gastos JoinsClee'!H11</f>
        <v>671268.6</v>
      </c>
      <c r="E28" s="11" t="s">
        <v>233</v>
      </c>
    </row>
    <row r="29" ht="15.75" customHeight="1">
      <c r="B29" s="61" t="s">
        <v>234</v>
      </c>
      <c r="C29" s="46">
        <f>D22</f>
        <v>8996700.285</v>
      </c>
      <c r="D29" s="46">
        <f>D23</f>
        <v>3855728.694</v>
      </c>
      <c r="E29" s="11" t="s">
        <v>235</v>
      </c>
    </row>
    <row r="30" ht="27.75" customHeight="1">
      <c r="B30" s="69" t="s">
        <v>236</v>
      </c>
      <c r="C30" s="70">
        <f t="shared" ref="C30:D30" si="3">C28+C29</f>
        <v>12934227.99</v>
      </c>
      <c r="D30" s="70">
        <f t="shared" si="3"/>
        <v>4526997.294</v>
      </c>
      <c r="E30" s="71" t="s">
        <v>237</v>
      </c>
    </row>
    <row r="31" ht="15.75" customHeight="1"/>
    <row r="32" ht="15.75" customHeight="1">
      <c r="B32" s="11" t="s">
        <v>238</v>
      </c>
      <c r="C32" s="52">
        <f>C30+D30</f>
        <v>17461225.29</v>
      </c>
      <c r="D32" s="52">
        <f>D9</f>
        <v>17461225.29</v>
      </c>
      <c r="E32" s="11" t="s">
        <v>239</v>
      </c>
    </row>
    <row r="33" ht="15.75" customHeight="1">
      <c r="B33" s="11" t="s">
        <v>240</v>
      </c>
      <c r="C33" s="52">
        <f>C32-D32</f>
        <v>-0.000000003725290298</v>
      </c>
      <c r="D33" s="7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E2"/>
    <mergeCell ref="B3:E3"/>
    <mergeCell ref="B5:E5"/>
    <mergeCell ref="B11:E11"/>
    <mergeCell ref="B17:E17"/>
    <mergeCell ref="B18:C18"/>
    <mergeCell ref="B20:E20"/>
    <mergeCell ref="B26:E2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2026-05-08T11:32:00Z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