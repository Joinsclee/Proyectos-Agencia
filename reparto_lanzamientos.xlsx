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rto" sheetId="1" r:id="rId4"/>
  </sheets>
  <definedNames/>
  <calcPr/>
  <extLst>
    <ext uri="GoogleSheetsCustomDataVersion2">
      <go:sheetsCustomData xmlns:go="http://customooxmlschemas.google.com/" r:id="rId5" roundtripDataChecksum="h2MU1SfbO3vn2XCz7A/WyZcCPB1wxZkOhX/Lomyf3SY="/>
    </ext>
  </extLst>
</workbook>
</file>

<file path=xl/sharedStrings.xml><?xml version="1.0" encoding="utf-8"?>
<sst xmlns="http://schemas.openxmlformats.org/spreadsheetml/2006/main" count="106" uniqueCount="89">
  <si>
    <t>REPARTO LANZAMIENTOS — MENTORÍA 1:1 + VUELA</t>
  </si>
  <si>
    <t>Inversiones se devuelven al dueño antes del reparto de utilidad</t>
  </si>
  <si>
    <t>PARÁMETROS</t>
  </si>
  <si>
    <t>TRM (COP por USD)</t>
  </si>
  <si>
    <t>← edita</t>
  </si>
  <si>
    <t>MENTORÍA 1:1</t>
  </si>
  <si>
    <t>Cliente</t>
  </si>
  <si>
    <t>Monto (COP)</t>
  </si>
  <si>
    <t>Monto (USD)</t>
  </si>
  <si>
    <t>Notas</t>
  </si>
  <si>
    <t>S.O</t>
  </si>
  <si>
    <t>C.V</t>
  </si>
  <si>
    <t>Subtotal Mentoría</t>
  </si>
  <si>
    <t>VUELA</t>
  </si>
  <si>
    <t>C y N</t>
  </si>
  <si>
    <t>Pablo</t>
  </si>
  <si>
    <t>D.E</t>
  </si>
  <si>
    <t>Paula H</t>
  </si>
  <si>
    <t>Pisó</t>
  </si>
  <si>
    <t>Eli</t>
  </si>
  <si>
    <t>D.P</t>
  </si>
  <si>
    <t>Subtotal Vuela</t>
  </si>
  <si>
    <t>TOTAL BRUTO (Mentoría + Vuela)</t>
  </si>
  <si>
    <t>INVERSIONES (se devuelven a quien las puso)</t>
  </si>
  <si>
    <t>Concepto</t>
  </si>
  <si>
    <t>Aplica a</t>
  </si>
  <si>
    <t>Inversión Cristhian (ads + edición)</t>
  </si>
  <si>
    <t>Vuela</t>
  </si>
  <si>
    <t>Edita USD. "Aplica a": Vuela / Mentoría / Ambos</t>
  </si>
  <si>
    <t>Inversión Andy (pauta)</t>
  </si>
  <si>
    <t>Edita COP. "Aplica a": Vuela / Mentoría / Ambos</t>
  </si>
  <si>
    <t>Total inversiones</t>
  </si>
  <si>
    <t>UTILIDAD A REPARTIR (Bruto − Inversiones)</t>
  </si>
  <si>
    <t>Utilidad total</t>
  </si>
  <si>
    <t>REPARTO MENTORÍA 1:1 — 70% Andy / 30% Cristhian</t>
  </si>
  <si>
    <t>Utilidad Mentoría (después de inversiones que aplican)</t>
  </si>
  <si>
    <t xml:space="preserve">  Andy</t>
  </si>
  <si>
    <t>70% utilidad Mentoría</t>
  </si>
  <si>
    <t xml:space="preserve">  Cristhian</t>
  </si>
  <si>
    <t>30% utilidad Mentoría</t>
  </si>
  <si>
    <t>REPARTO VUELA — 50% Andy / 50% Cristhian</t>
  </si>
  <si>
    <t>Utilidad Vuela (después de inversiones que aplican)</t>
  </si>
  <si>
    <t>50% utilidad Vuela</t>
  </si>
  <si>
    <t>RESUMEN FINAL POR PERSONA (utilidad + devolución de inversión)</t>
  </si>
  <si>
    <t>COP</t>
  </si>
  <si>
    <t>USD</t>
  </si>
  <si>
    <t>Detalle</t>
  </si>
  <si>
    <t>ANDY</t>
  </si>
  <si>
    <t xml:space="preserve">  Utilidad Mentoría (70%)</t>
  </si>
  <si>
    <t xml:space="preserve">  Utilidad Vuela (50%)</t>
  </si>
  <si>
    <t xml:space="preserve">  + Devolución inversión Andy</t>
  </si>
  <si>
    <t>Le devuelven lo que invirtió</t>
  </si>
  <si>
    <t xml:space="preserve">  TOTAL ANDY</t>
  </si>
  <si>
    <t>Utilidad + inversión devuelta</t>
  </si>
  <si>
    <t>CRISTHIAN</t>
  </si>
  <si>
    <t xml:space="preserve">  Utilidad Mentoría (30%)</t>
  </si>
  <si>
    <t xml:space="preserve">  + Devolución inversión Cristhian</t>
  </si>
  <si>
    <t xml:space="preserve">  TOTAL CRISTHIAN</t>
  </si>
  <si>
    <t>Verificación: Andy + Cristhian (debe = Total Bruto)</t>
  </si>
  <si>
    <t>LEYENDA</t>
  </si>
  <si>
    <t>🟡 Amarillo + texto azul</t>
  </si>
  <si>
    <t>Celdas editables (TRM, montos, inversiones, %)</t>
  </si>
  <si>
    <t>🟢 Verde claro</t>
  </si>
  <si>
    <t>Resultado de utilidad (parte del beneficio)</t>
  </si>
  <si>
    <t>🟢 Verde oscuro</t>
  </si>
  <si>
    <t>Total final de cada persona (utilidad + inversión devuelta)</t>
  </si>
  <si>
    <t>Inversión</t>
  </si>
  <si>
    <t>Plata que cada uno puso de su bolsillo. Se la devuelven completa.</t>
  </si>
  <si>
    <t>Utilidad</t>
  </si>
  <si>
    <t>Lo que queda después de devolver inversiones. Eso sí se reparte por %.</t>
  </si>
  <si>
    <t>Define a qué proyecto pertenece la inversión: Vuela / Mentoría / Ambos</t>
  </si>
  <si>
    <t>Andy Abonó</t>
  </si>
  <si>
    <t>Falta por abonar</t>
  </si>
  <si>
    <t>Falta por abonar 30%</t>
  </si>
  <si>
    <t>Valor (USD)</t>
  </si>
  <si>
    <t>Valor (COP)</t>
  </si>
  <si>
    <t>Total General</t>
  </si>
  <si>
    <t>$1,579.12</t>
  </si>
  <si>
    <t>$5,935,912</t>
  </si>
  <si>
    <t>Ya recibido en banco</t>
  </si>
  <si>
    <t>$1,342.55</t>
  </si>
  <si>
    <t>$5,046,645</t>
  </si>
  <si>
    <t>Por recibir (Balance)</t>
  </si>
  <si>
    <t>$236.57</t>
  </si>
  <si>
    <t>$889,267</t>
  </si>
  <si>
    <t>Skool</t>
  </si>
  <si>
    <t>1.342.55</t>
  </si>
  <si>
    <t>Pago Skool febrero, marzo, abril</t>
  </si>
  <si>
    <t>Gastos lanzamiento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</si>
</sst>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\$#,##0;&quot;($&quot;#,##0\);\-"/>
    <numFmt numFmtId="166" formatCode="&quot;US$&quot;#,##0.00;&quot;(US$&quot;#,##0.00\);\-"/>
    <numFmt numFmtId="167" formatCode="0.0%"/>
    <numFmt numFmtId="168" formatCode="dd/mm/yy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i/>
      <sz val="9.0"/>
      <color rgb="FF808080"/>
      <name val="Arial"/>
    </font>
    <font>
      <sz val="10.0"/>
      <color theme="1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1F4E78"/>
      <name val="Arial"/>
    </font>
    <font>
      <b/>
      <sz val="12.0"/>
      <color rgb="FF1F4E78"/>
      <name val="Arial"/>
    </font>
    <font>
      <b/>
      <sz val="9.0"/>
      <color rgb="FF595959"/>
      <name val="Arial"/>
    </font>
    <font>
      <sz val="9.0"/>
      <color rgb="FF595959"/>
      <name val="Arial"/>
    </font>
    <font>
      <color theme="1"/>
      <name val="Calibri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A9D08E"/>
        <bgColor rgb="FFA9D08E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4" fillId="4" fontId="6" numFmtId="164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shrinkToFit="0" vertical="bottom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4" fillId="4" fontId="6" numFmtId="165" xfId="0" applyAlignment="1" applyBorder="1" applyFont="1" applyNumberFormat="1">
      <alignment horizontal="right" shrinkToFit="0" vertical="center" wrapText="0"/>
    </xf>
    <xf borderId="4" fillId="0" fontId="8" numFmtId="166" xfId="0" applyAlignment="1" applyBorder="1" applyFont="1" applyNumberFormat="1">
      <alignment horizontal="righ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6" fontId="9" numFmtId="0" xfId="0" applyAlignment="1" applyBorder="1" applyFill="1" applyFont="1">
      <alignment horizontal="left" shrinkToFit="0" vertical="center" wrapText="0"/>
    </xf>
    <xf borderId="4" fillId="6" fontId="9" numFmtId="165" xfId="0" applyAlignment="1" applyBorder="1" applyFont="1" applyNumberFormat="1">
      <alignment horizontal="right" shrinkToFit="0" vertical="center" wrapText="0"/>
    </xf>
    <xf borderId="4" fillId="6" fontId="9" numFmtId="166" xfId="0" applyAlignment="1" applyBorder="1" applyFont="1" applyNumberFormat="1">
      <alignment horizontal="right" shrinkToFit="0" vertical="center" wrapText="0"/>
    </xf>
    <xf borderId="4" fillId="6" fontId="10" numFmtId="0" xfId="0" applyAlignment="1" applyBorder="1" applyFont="1">
      <alignment shrinkToFit="0" vertical="bottom" wrapText="0"/>
    </xf>
    <xf borderId="4" fillId="5" fontId="11" numFmtId="0" xfId="0" applyAlignment="1" applyBorder="1" applyFont="1">
      <alignment horizontal="left" shrinkToFit="0" vertical="center" wrapText="0"/>
    </xf>
    <xf borderId="4" fillId="5" fontId="11" numFmtId="165" xfId="0" applyAlignment="1" applyBorder="1" applyFont="1" applyNumberFormat="1">
      <alignment horizontal="right" shrinkToFit="0" vertical="center" wrapText="0"/>
    </xf>
    <xf borderId="4" fillId="5" fontId="11" numFmtId="166" xfId="0" applyAlignment="1" applyBorder="1" applyFont="1" applyNumberFormat="1">
      <alignment horizontal="right" shrinkToFit="0" vertical="center" wrapText="0"/>
    </xf>
    <xf borderId="4" fillId="5" fontId="10" numFmtId="0" xfId="0" applyAlignment="1" applyBorder="1" applyFont="1">
      <alignment shrinkToFit="0" vertical="bottom" wrapText="0"/>
    </xf>
    <xf borderId="4" fillId="0" fontId="8" numFmtId="165" xfId="0" applyAlignment="1" applyBorder="1" applyFont="1" applyNumberFormat="1">
      <alignment horizontal="right" shrinkToFit="0" vertical="center" wrapText="0"/>
    </xf>
    <xf borderId="4" fillId="4" fontId="6" numFmtId="166" xfId="0" applyAlignment="1" applyBorder="1" applyFont="1" applyNumberFormat="1">
      <alignment horizontal="right" readingOrder="0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0" fontId="8" numFmtId="166" xfId="0" applyAlignment="1" applyBorder="1" applyFont="1" applyNumberFormat="1">
      <alignment horizontal="right" readingOrder="0" shrinkToFit="0" vertical="center" wrapText="0"/>
    </xf>
    <xf borderId="4" fillId="0" fontId="11" numFmtId="0" xfId="0" applyAlignment="1" applyBorder="1" applyFont="1">
      <alignment horizontal="left" shrinkToFit="0" vertical="center" wrapText="0"/>
    </xf>
    <xf borderId="4" fillId="7" fontId="11" numFmtId="165" xfId="0" applyAlignment="1" applyBorder="1" applyFill="1" applyFont="1" applyNumberFormat="1">
      <alignment horizontal="right" shrinkToFit="0" vertical="center" wrapText="0"/>
    </xf>
    <xf borderId="4" fillId="7" fontId="11" numFmtId="166" xfId="0" applyAlignment="1" applyBorder="1" applyFont="1" applyNumberFormat="1">
      <alignment horizontal="right" shrinkToFit="0" vertical="center" wrapText="0"/>
    </xf>
    <xf borderId="4" fillId="0" fontId="10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left" shrinkToFit="0" vertical="center" wrapText="0"/>
    </xf>
    <xf borderId="4" fillId="6" fontId="5" numFmtId="165" xfId="0" applyAlignment="1" applyBorder="1" applyFont="1" applyNumberFormat="1">
      <alignment horizontal="right" shrinkToFit="0" vertical="center" wrapText="0"/>
    </xf>
    <xf borderId="4" fillId="6" fontId="5" numFmtId="166" xfId="0" applyAlignment="1" applyBorder="1" applyFont="1" applyNumberFormat="1">
      <alignment horizontal="right" shrinkToFit="0" vertical="center" wrapText="0"/>
    </xf>
    <xf borderId="4" fillId="7" fontId="8" numFmtId="165" xfId="0" applyAlignment="1" applyBorder="1" applyFont="1" applyNumberFormat="1">
      <alignment horizontal="right" shrinkToFit="0" vertical="center" wrapText="0"/>
    </xf>
    <xf borderId="4" fillId="4" fontId="6" numFmtId="167" xfId="0" applyAlignment="1" applyBorder="1" applyFont="1" applyNumberFormat="1">
      <alignment horizontal="center" shrinkToFit="0" vertical="center" wrapText="0"/>
    </xf>
    <xf borderId="4" fillId="7" fontId="8" numFmtId="166" xfId="0" applyAlignment="1" applyBorder="1" applyFont="1" applyNumberFormat="1">
      <alignment horizontal="right" shrinkToFit="0" vertical="center" wrapText="0"/>
    </xf>
    <xf borderId="1" fillId="5" fontId="12" numFmtId="0" xfId="0" applyAlignment="1" applyBorder="1" applyFont="1">
      <alignment horizontal="left" shrinkToFit="0" vertical="center" wrapText="0"/>
    </xf>
    <xf borderId="4" fillId="0" fontId="8" numFmtId="165" xfId="0" applyAlignment="1" applyBorder="1" applyFont="1" applyNumberFormat="1">
      <alignment horizontal="right" readingOrder="0" shrinkToFit="0" vertical="center" wrapText="0"/>
    </xf>
    <xf borderId="4" fillId="8" fontId="8" numFmtId="166" xfId="0" applyAlignment="1" applyBorder="1" applyFill="1" applyFont="1" applyNumberFormat="1">
      <alignment horizontal="right" readingOrder="0" shrinkToFit="0" vertical="center" wrapText="0"/>
    </xf>
    <xf borderId="4" fillId="9" fontId="11" numFmtId="0" xfId="0" applyAlignment="1" applyBorder="1" applyFill="1" applyFont="1">
      <alignment horizontal="left" shrinkToFit="0" vertical="center" wrapText="0"/>
    </xf>
    <xf borderId="4" fillId="9" fontId="11" numFmtId="165" xfId="0" applyAlignment="1" applyBorder="1" applyFont="1" applyNumberFormat="1">
      <alignment horizontal="right" shrinkToFit="0" vertical="center" wrapText="0"/>
    </xf>
    <xf borderId="4" fillId="9" fontId="11" numFmtId="166" xfId="0" applyAlignment="1" applyBorder="1" applyFont="1" applyNumberFormat="1">
      <alignment horizontal="right" shrinkToFit="0" vertical="center" wrapText="0"/>
    </xf>
    <xf borderId="4" fillId="9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5" fillId="10" fontId="16" numFmtId="0" xfId="0" applyAlignment="1" applyBorder="1" applyFill="1" applyFont="1">
      <alignment readingOrder="0"/>
    </xf>
    <xf borderId="5" fillId="0" fontId="16" numFmtId="3" xfId="0" applyAlignment="1" applyBorder="1" applyFont="1" applyNumberFormat="1">
      <alignment readingOrder="0"/>
    </xf>
    <xf borderId="5" fillId="0" fontId="16" numFmtId="168" xfId="0" applyAlignment="1" applyBorder="1" applyFont="1" applyNumberFormat="1">
      <alignment readingOrder="0"/>
    </xf>
    <xf borderId="5" fillId="11" fontId="16" numFmtId="0" xfId="0" applyAlignment="1" applyBorder="1" applyFill="1" applyFont="1">
      <alignment readingOrder="0"/>
    </xf>
    <xf borderId="5" fillId="0" fontId="16" numFmtId="0" xfId="0" applyBorder="1" applyFont="1"/>
    <xf borderId="5" fillId="11" fontId="16" numFmtId="0" xfId="0" applyAlignment="1" applyBorder="1" applyFont="1">
      <alignment readingOrder="0" shrinkToFit="0" wrapText="1"/>
    </xf>
    <xf borderId="5" fillId="0" fontId="16" numFmtId="0" xfId="0" applyAlignment="1" applyBorder="1" applyFont="1">
      <alignment shrinkToFit="0" wrapText="1"/>
    </xf>
    <xf borderId="5" fillId="0" fontId="17" numFmtId="0" xfId="0" applyAlignment="1" applyBorder="1" applyFont="1">
      <alignment readingOrder="0" shrinkToFit="0" wrapText="1"/>
    </xf>
    <xf borderId="5" fillId="0" fontId="18" numFmtId="0" xfId="0" applyAlignment="1" applyBorder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3" width="18.0"/>
    <col customWidth="1" min="4" max="4" width="29.0"/>
    <col customWidth="1" min="5" max="5" width="38.0"/>
    <col customWidth="1" min="6" max="6" width="15.86"/>
    <col customWidth="1" min="7" max="26" width="8.71"/>
  </cols>
  <sheetData>
    <row r="1" ht="27.75" customHeight="1">
      <c r="A1" s="1" t="s">
        <v>0</v>
      </c>
      <c r="B1" s="2"/>
      <c r="C1" s="2"/>
      <c r="D1" s="2"/>
      <c r="E1" s="3"/>
    </row>
    <row r="2">
      <c r="A2" s="4" t="s">
        <v>1</v>
      </c>
    </row>
    <row r="4">
      <c r="A4" s="5" t="s">
        <v>2</v>
      </c>
      <c r="B4" s="2"/>
      <c r="C4" s="2"/>
      <c r="D4" s="2"/>
      <c r="E4" s="3"/>
    </row>
    <row r="5">
      <c r="A5" s="6" t="s">
        <v>3</v>
      </c>
      <c r="B5" s="7">
        <v>3706.44</v>
      </c>
      <c r="C5" s="8" t="s">
        <v>4</v>
      </c>
    </row>
    <row r="7">
      <c r="A7" s="5" t="s">
        <v>5</v>
      </c>
      <c r="B7" s="2"/>
      <c r="C7" s="2"/>
      <c r="D7" s="2"/>
      <c r="E7" s="3"/>
    </row>
    <row r="8">
      <c r="A8" s="9" t="s">
        <v>6</v>
      </c>
      <c r="B8" s="9" t="s">
        <v>7</v>
      </c>
      <c r="C8" s="9"/>
      <c r="D8" s="9" t="s">
        <v>8</v>
      </c>
      <c r="E8" s="9" t="s">
        <v>9</v>
      </c>
    </row>
    <row r="9">
      <c r="A9" s="10" t="s">
        <v>10</v>
      </c>
      <c r="B9" s="11">
        <v>4500000.0</v>
      </c>
      <c r="D9" s="12">
        <f t="shared" ref="D9:D11" si="1">B9/$B$5</f>
        <v>1214.103021</v>
      </c>
      <c r="E9" s="13"/>
    </row>
    <row r="10">
      <c r="A10" s="10" t="s">
        <v>11</v>
      </c>
      <c r="B10" s="11">
        <v>4295456.0</v>
      </c>
      <c r="D10" s="12">
        <f t="shared" si="1"/>
        <v>1158.916912</v>
      </c>
      <c r="E10" s="13"/>
    </row>
    <row r="11">
      <c r="A11" s="14" t="s">
        <v>12</v>
      </c>
      <c r="B11" s="15">
        <f>SUM(B9:B10)</f>
        <v>8795456</v>
      </c>
      <c r="D11" s="16">
        <f t="shared" si="1"/>
        <v>2373.019933</v>
      </c>
      <c r="E11" s="17"/>
    </row>
    <row r="13">
      <c r="A13" s="5" t="s">
        <v>13</v>
      </c>
      <c r="B13" s="2"/>
      <c r="C13" s="2"/>
      <c r="D13" s="2"/>
      <c r="E13" s="3"/>
    </row>
    <row r="14">
      <c r="A14" s="9" t="s">
        <v>6</v>
      </c>
      <c r="B14" s="9" t="s">
        <v>7</v>
      </c>
      <c r="C14" s="9"/>
      <c r="D14" s="9" t="s">
        <v>8</v>
      </c>
      <c r="E14" s="9" t="s">
        <v>9</v>
      </c>
    </row>
    <row r="15">
      <c r="A15" s="10" t="s">
        <v>14</v>
      </c>
      <c r="B15" s="11">
        <v>7230000.0</v>
      </c>
      <c r="D15" s="12">
        <f t="shared" ref="D15:D21" si="2">B15/$B$5</f>
        <v>1950.658853</v>
      </c>
      <c r="E15" s="13"/>
    </row>
    <row r="16">
      <c r="A16" s="10" t="s">
        <v>15</v>
      </c>
      <c r="B16" s="11">
        <v>6841150.0</v>
      </c>
      <c r="D16" s="12">
        <f t="shared" si="2"/>
        <v>1845.746862</v>
      </c>
      <c r="E16" s="13"/>
    </row>
    <row r="17">
      <c r="A17" s="10" t="s">
        <v>16</v>
      </c>
      <c r="B17" s="11">
        <v>6818942.0</v>
      </c>
      <c r="D17" s="12">
        <f t="shared" si="2"/>
        <v>1839.755129</v>
      </c>
      <c r="E17" s="13"/>
    </row>
    <row r="18">
      <c r="A18" s="10" t="s">
        <v>17</v>
      </c>
      <c r="B18" s="11">
        <v>726600.0</v>
      </c>
      <c r="D18" s="12">
        <f t="shared" si="2"/>
        <v>196.0371677</v>
      </c>
      <c r="E18" s="13" t="s">
        <v>18</v>
      </c>
    </row>
    <row r="19">
      <c r="A19" s="10" t="s">
        <v>19</v>
      </c>
      <c r="B19" s="11">
        <v>3610314.0</v>
      </c>
      <c r="D19" s="12">
        <f t="shared" si="2"/>
        <v>974.0651407</v>
      </c>
      <c r="E19" s="13"/>
    </row>
    <row r="20">
      <c r="A20" s="10" t="s">
        <v>20</v>
      </c>
      <c r="B20" s="11">
        <v>1572492.0</v>
      </c>
      <c r="D20" s="12">
        <f t="shared" si="2"/>
        <v>424.2593972</v>
      </c>
      <c r="E20" s="13"/>
    </row>
    <row r="21" ht="15.75" customHeight="1">
      <c r="A21" s="14" t="s">
        <v>21</v>
      </c>
      <c r="B21" s="15">
        <f>SUM(B15:B20)</f>
        <v>26799498</v>
      </c>
      <c r="D21" s="16">
        <f t="shared" si="2"/>
        <v>7230.52255</v>
      </c>
      <c r="E21" s="17"/>
    </row>
    <row r="22" ht="15.75" customHeight="1"/>
    <row r="23" ht="15.75" customHeight="1">
      <c r="A23" s="18" t="s">
        <v>22</v>
      </c>
      <c r="B23" s="19">
        <f>$B$11+$B$21</f>
        <v>35594954</v>
      </c>
      <c r="D23" s="20">
        <f>B23/$B$5</f>
        <v>9603.542483</v>
      </c>
      <c r="E23" s="21"/>
    </row>
    <row r="24" ht="15.75" customHeight="1"/>
    <row r="25" ht="15.75" customHeight="1">
      <c r="A25" s="5" t="s">
        <v>23</v>
      </c>
      <c r="B25" s="2"/>
      <c r="C25" s="2"/>
      <c r="D25" s="2"/>
      <c r="E25" s="3"/>
    </row>
    <row r="26" ht="15.75" customHeight="1">
      <c r="A26" s="9" t="s">
        <v>24</v>
      </c>
      <c r="B26" s="9" t="s">
        <v>7</v>
      </c>
      <c r="C26" s="9" t="s">
        <v>8</v>
      </c>
      <c r="D26" s="9" t="s">
        <v>25</v>
      </c>
      <c r="E26" s="9" t="s">
        <v>9</v>
      </c>
    </row>
    <row r="27" ht="15.75" customHeight="1">
      <c r="A27" s="10" t="s">
        <v>26</v>
      </c>
      <c r="B27" s="22">
        <f t="shared" ref="B27:B28" si="3">C27*$B$5</f>
        <v>3928826.4</v>
      </c>
      <c r="C27" s="23">
        <v>1060.0</v>
      </c>
      <c r="D27" s="24" t="s">
        <v>27</v>
      </c>
      <c r="E27" s="13" t="s">
        <v>28</v>
      </c>
    </row>
    <row r="28" ht="15.75" customHeight="1">
      <c r="A28" s="10" t="s">
        <v>29</v>
      </c>
      <c r="B28" s="11">
        <f t="shared" si="3"/>
        <v>4570040.52</v>
      </c>
      <c r="C28" s="25">
        <v>1233.0</v>
      </c>
      <c r="D28" s="24" t="s">
        <v>27</v>
      </c>
      <c r="E28" s="13" t="s">
        <v>30</v>
      </c>
    </row>
    <row r="29" ht="15.75" customHeight="1">
      <c r="A29" s="14" t="s">
        <v>31</v>
      </c>
      <c r="B29" s="15">
        <f>$B$27+$B$28</f>
        <v>8498866.92</v>
      </c>
      <c r="C29" s="16">
        <f>B29/$B$5</f>
        <v>2293</v>
      </c>
      <c r="D29" s="17"/>
      <c r="E29" s="17"/>
    </row>
    <row r="30" ht="15.75" customHeight="1"/>
    <row r="31" ht="15.75" customHeight="1">
      <c r="A31" s="5" t="s">
        <v>32</v>
      </c>
      <c r="B31" s="2"/>
      <c r="C31" s="2"/>
      <c r="D31" s="2"/>
      <c r="E31" s="3"/>
    </row>
    <row r="32" ht="15.75" customHeight="1">
      <c r="A32" s="26" t="s">
        <v>33</v>
      </c>
      <c r="B32" s="27">
        <f>$B$23-$B$27-$B$28</f>
        <v>27096087.08</v>
      </c>
      <c r="D32" s="28">
        <f>B32/$B$5</f>
        <v>7310.542483</v>
      </c>
      <c r="E32" s="29"/>
    </row>
    <row r="33" ht="15.75" customHeight="1"/>
    <row r="34" ht="15.75" customHeight="1">
      <c r="A34" s="5" t="s">
        <v>34</v>
      </c>
      <c r="B34" s="2"/>
      <c r="C34" s="2"/>
      <c r="D34" s="2"/>
      <c r="E34" s="3"/>
    </row>
    <row r="35" ht="15.75" customHeight="1">
      <c r="A35" s="30" t="s">
        <v>35</v>
      </c>
      <c r="B35" s="31">
        <f>$B$11-IF(OR($D$27="Mentoría",$D$27="Ambos"),IF($D$27="Ambos",$B$27*($B$11/$B$23),$B$27),0)-IF(OR($D$28="Mentoría",$D$28="Ambos"),IF($D$28="Ambos",$B$28*($B$11/$B$23),$B$28),0)</f>
        <v>8795456</v>
      </c>
      <c r="D35" s="32">
        <f t="shared" ref="D35:D37" si="4">B35/$B$5</f>
        <v>2373.019933</v>
      </c>
      <c r="E35" s="17"/>
    </row>
    <row r="36" ht="15.75" customHeight="1">
      <c r="A36" s="10" t="s">
        <v>36</v>
      </c>
      <c r="B36" s="33">
        <f>$B$35*$C$36</f>
        <v>6156819.2</v>
      </c>
      <c r="C36" s="34">
        <v>0.7</v>
      </c>
      <c r="D36" s="35">
        <f t="shared" si="4"/>
        <v>1661.113953</v>
      </c>
      <c r="E36" s="13" t="s">
        <v>37</v>
      </c>
    </row>
    <row r="37" ht="15.75" customHeight="1">
      <c r="A37" s="10" t="s">
        <v>38</v>
      </c>
      <c r="B37" s="33">
        <f>$B$35*$C$37</f>
        <v>2638636.8</v>
      </c>
      <c r="C37" s="34">
        <v>0.3</v>
      </c>
      <c r="D37" s="35">
        <f t="shared" si="4"/>
        <v>711.9059799</v>
      </c>
      <c r="E37" s="13" t="s">
        <v>39</v>
      </c>
    </row>
    <row r="38" ht="15.75" customHeight="1"/>
    <row r="39" ht="15.75" customHeight="1">
      <c r="A39" s="5" t="s">
        <v>40</v>
      </c>
      <c r="B39" s="2"/>
      <c r="C39" s="2"/>
      <c r="D39" s="2"/>
      <c r="E39" s="3"/>
    </row>
    <row r="40" ht="15.75" customHeight="1">
      <c r="A40" s="30" t="s">
        <v>41</v>
      </c>
      <c r="B40" s="31">
        <f>$B$21-IF(OR($D$27="Vuela",$D$27="Ambos"),IF($D$27="Ambos",$B$27*($B$21/$B$23),$B$27),0)-IF(OR($D$28="Vuela",$D$28="Ambos"),IF($D$28="Ambos",$B$28*($B$21/$B$23),$B$28),0)</f>
        <v>18300631.08</v>
      </c>
      <c r="D40" s="32">
        <f t="shared" ref="D40:D42" si="5">B40/$B$5</f>
        <v>4937.52255</v>
      </c>
      <c r="E40" s="17"/>
    </row>
    <row r="41" ht="15.75" customHeight="1">
      <c r="A41" s="10" t="s">
        <v>36</v>
      </c>
      <c r="B41" s="33">
        <f>$B$40*$C$41</f>
        <v>9150315.54</v>
      </c>
      <c r="C41" s="34">
        <v>0.5</v>
      </c>
      <c r="D41" s="35">
        <f t="shared" si="5"/>
        <v>2468.761275</v>
      </c>
      <c r="E41" s="13" t="s">
        <v>42</v>
      </c>
    </row>
    <row r="42" ht="15.75" customHeight="1">
      <c r="A42" s="10" t="s">
        <v>38</v>
      </c>
      <c r="B42" s="33">
        <f>$B$40*$C$42</f>
        <v>9150315.54</v>
      </c>
      <c r="C42" s="34">
        <v>0.5</v>
      </c>
      <c r="D42" s="35">
        <f t="shared" si="5"/>
        <v>2468.761275</v>
      </c>
      <c r="E42" s="13" t="s">
        <v>42</v>
      </c>
    </row>
    <row r="43" ht="15.75" customHeight="1"/>
    <row r="44" ht="15.75" customHeight="1">
      <c r="A44" s="5" t="s">
        <v>43</v>
      </c>
      <c r="B44" s="2"/>
      <c r="C44" s="2"/>
      <c r="D44" s="2"/>
      <c r="E44" s="3"/>
    </row>
    <row r="45" ht="15.75" customHeight="1">
      <c r="A45" s="9" t="s">
        <v>24</v>
      </c>
      <c r="B45" s="9" t="s">
        <v>44</v>
      </c>
      <c r="C45" s="9"/>
      <c r="D45" s="9" t="s">
        <v>45</v>
      </c>
      <c r="E45" s="9" t="s">
        <v>46</v>
      </c>
    </row>
    <row r="46" ht="15.75" customHeight="1">
      <c r="A46" s="36" t="s">
        <v>47</v>
      </c>
      <c r="B46" s="2"/>
      <c r="C46" s="2"/>
      <c r="D46" s="2"/>
      <c r="E46" s="3"/>
    </row>
    <row r="47" ht="15.75" customHeight="1">
      <c r="A47" s="10" t="s">
        <v>48</v>
      </c>
      <c r="B47" s="22">
        <f>$B$36</f>
        <v>6156819.2</v>
      </c>
      <c r="D47" s="12">
        <f t="shared" ref="D47:D48" si="6">B47/$B$5</f>
        <v>1661.113953</v>
      </c>
      <c r="E47" s="29"/>
    </row>
    <row r="48" ht="15.75" customHeight="1">
      <c r="A48" s="10" t="s">
        <v>49</v>
      </c>
      <c r="B48" s="22">
        <f>$B$41</f>
        <v>9150315.54</v>
      </c>
      <c r="D48" s="12">
        <f t="shared" si="6"/>
        <v>2468.761275</v>
      </c>
      <c r="E48" s="29"/>
    </row>
    <row r="49" ht="15.75" customHeight="1">
      <c r="A49" s="10" t="s">
        <v>50</v>
      </c>
      <c r="B49" s="37">
        <f>B28</f>
        <v>4570040.52</v>
      </c>
      <c r="D49" s="38">
        <f>C28</f>
        <v>1233</v>
      </c>
      <c r="E49" s="13" t="s">
        <v>51</v>
      </c>
    </row>
    <row r="50" ht="15.75" customHeight="1">
      <c r="A50" s="39" t="s">
        <v>52</v>
      </c>
      <c r="B50" s="40">
        <f>$B$36+$B$41+$B$28</f>
        <v>19877175.26</v>
      </c>
      <c r="D50" s="41">
        <f>B50/$B$5</f>
        <v>5362.875228</v>
      </c>
      <c r="E50" s="42" t="s">
        <v>53</v>
      </c>
    </row>
    <row r="51" ht="15.75" customHeight="1"/>
    <row r="52" ht="15.75" customHeight="1">
      <c r="A52" s="36" t="s">
        <v>54</v>
      </c>
      <c r="B52" s="2"/>
      <c r="C52" s="2"/>
      <c r="D52" s="2"/>
      <c r="E52" s="3"/>
    </row>
    <row r="53" ht="15.75" customHeight="1">
      <c r="A53" s="10" t="s">
        <v>55</v>
      </c>
      <c r="B53" s="22">
        <f>$B$37</f>
        <v>2638636.8</v>
      </c>
      <c r="D53" s="12">
        <f t="shared" ref="D53:D56" si="7">B53/$B$5</f>
        <v>711.9059799</v>
      </c>
      <c r="E53" s="29"/>
    </row>
    <row r="54" ht="15.75" customHeight="1">
      <c r="A54" s="10" t="s">
        <v>49</v>
      </c>
      <c r="B54" s="22">
        <f>$B$42</f>
        <v>9150315.54</v>
      </c>
      <c r="D54" s="12">
        <f t="shared" si="7"/>
        <v>2468.761275</v>
      </c>
      <c r="E54" s="29"/>
    </row>
    <row r="55" ht="15.75" customHeight="1">
      <c r="A55" s="10" t="s">
        <v>56</v>
      </c>
      <c r="B55" s="22">
        <f>$B$27</f>
        <v>3928826.4</v>
      </c>
      <c r="D55" s="12">
        <f t="shared" si="7"/>
        <v>1060</v>
      </c>
      <c r="E55" s="13" t="s">
        <v>51</v>
      </c>
    </row>
    <row r="56" ht="15.75" customHeight="1">
      <c r="A56" s="39" t="s">
        <v>57</v>
      </c>
      <c r="B56" s="40">
        <f>$B$37+$B$42+$B$27</f>
        <v>15717778.74</v>
      </c>
      <c r="D56" s="41">
        <f t="shared" si="7"/>
        <v>4240.667255</v>
      </c>
      <c r="E56" s="42" t="s">
        <v>53</v>
      </c>
    </row>
    <row r="57" ht="15.75" customHeight="1"/>
    <row r="58" ht="15.75" customHeight="1">
      <c r="A58" s="43" t="s">
        <v>58</v>
      </c>
      <c r="B58" s="44">
        <f>$B$50+$B$56</f>
        <v>35594954</v>
      </c>
    </row>
    <row r="59" ht="15.75" customHeight="1"/>
    <row r="60" ht="15.75" customHeight="1">
      <c r="A60" s="45" t="s">
        <v>59</v>
      </c>
    </row>
    <row r="61" ht="15.75" customHeight="1">
      <c r="A61" s="46" t="s">
        <v>60</v>
      </c>
      <c r="B61" s="47" t="s">
        <v>61</v>
      </c>
    </row>
    <row r="62" ht="15.75" customHeight="1">
      <c r="A62" s="46" t="s">
        <v>62</v>
      </c>
      <c r="B62" s="47" t="s">
        <v>63</v>
      </c>
    </row>
    <row r="63" ht="15.75" customHeight="1">
      <c r="A63" s="46" t="s">
        <v>64</v>
      </c>
      <c r="B63" s="47" t="s">
        <v>65</v>
      </c>
    </row>
    <row r="64" ht="15.75" customHeight="1">
      <c r="A64" s="46" t="s">
        <v>66</v>
      </c>
      <c r="B64" s="47" t="s">
        <v>67</v>
      </c>
    </row>
    <row r="65" ht="15.75" customHeight="1">
      <c r="A65" s="46" t="s">
        <v>68</v>
      </c>
      <c r="B65" s="47" t="s">
        <v>69</v>
      </c>
    </row>
    <row r="66" ht="15.75" customHeight="1">
      <c r="A66" s="46" t="s">
        <v>25</v>
      </c>
      <c r="B66" s="47" t="s">
        <v>70</v>
      </c>
    </row>
    <row r="67" ht="15.75" customHeight="1"/>
    <row r="68" ht="15.75" customHeight="1"/>
    <row r="69" ht="15.75" customHeight="1"/>
    <row r="70" ht="15.75" customHeight="1">
      <c r="D70" s="48" t="s">
        <v>71</v>
      </c>
      <c r="E70" s="49">
        <v>2650.0</v>
      </c>
      <c r="F70" s="50">
        <v>46153.0</v>
      </c>
    </row>
    <row r="71" ht="15.75" customHeight="1">
      <c r="D71" s="51" t="s">
        <v>72</v>
      </c>
      <c r="E71" s="49">
        <v>1574.0</v>
      </c>
      <c r="F71" s="52"/>
    </row>
    <row r="72" ht="15.75" customHeight="1">
      <c r="D72" s="53" t="s">
        <v>73</v>
      </c>
      <c r="E72" s="54"/>
      <c r="F72" s="54"/>
    </row>
    <row r="73" ht="15.75" customHeight="1">
      <c r="D73" s="55" t="s">
        <v>24</v>
      </c>
      <c r="E73" s="55" t="s">
        <v>74</v>
      </c>
      <c r="F73" s="55" t="s">
        <v>75</v>
      </c>
    </row>
    <row r="74" ht="15.75" customHeight="1">
      <c r="D74" s="56" t="s">
        <v>76</v>
      </c>
      <c r="E74" s="56" t="s">
        <v>77</v>
      </c>
      <c r="F74" s="56" t="s">
        <v>78</v>
      </c>
    </row>
    <row r="75" ht="15.75" customHeight="1">
      <c r="D75" s="56" t="s">
        <v>79</v>
      </c>
      <c r="E75" s="55" t="s">
        <v>80</v>
      </c>
      <c r="F75" s="55" t="s">
        <v>81</v>
      </c>
    </row>
    <row r="76" ht="15.75" customHeight="1">
      <c r="D76" s="56" t="s">
        <v>82</v>
      </c>
      <c r="E76" s="55" t="s">
        <v>83</v>
      </c>
      <c r="F76" s="55" t="s">
        <v>84</v>
      </c>
    </row>
    <row r="77" ht="15.75" customHeight="1"/>
    <row r="78" ht="15.75" customHeight="1"/>
    <row r="79" ht="15.75" customHeight="1"/>
    <row r="80" ht="15.75" customHeight="1">
      <c r="D80" s="57" t="s">
        <v>85</v>
      </c>
      <c r="E80" s="57" t="s">
        <v>86</v>
      </c>
      <c r="F80" s="58">
        <v>4922047.0</v>
      </c>
    </row>
    <row r="81" ht="15.75" customHeight="1">
      <c r="D81" s="57" t="s">
        <v>87</v>
      </c>
      <c r="E81" s="58">
        <v>1085433.0</v>
      </c>
    </row>
    <row r="82" ht="15.75" customHeight="1"/>
    <row r="83" ht="15.75" customHeight="1">
      <c r="D83" s="57" t="s">
        <v>88</v>
      </c>
      <c r="E83" s="58">
        <v>666473.0</v>
      </c>
    </row>
    <row r="84" ht="15.75" customHeight="1"/>
    <row r="85" ht="15.75" customHeight="1">
      <c r="F85" s="58">
        <v>1150984.0</v>
      </c>
    </row>
    <row r="86" ht="15.75" customHeight="1"/>
    <row r="87" ht="15.75" customHeight="1">
      <c r="F87" s="58">
        <v>3170141.0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E1"/>
    <mergeCell ref="A2:E2"/>
    <mergeCell ref="A4:E4"/>
    <mergeCell ref="A7:E7"/>
    <mergeCell ref="A13:E13"/>
    <mergeCell ref="A25:E25"/>
    <mergeCell ref="A31:E31"/>
    <mergeCell ref="B62:E62"/>
    <mergeCell ref="B63:E63"/>
    <mergeCell ref="B64:E64"/>
    <mergeCell ref="B65:E65"/>
    <mergeCell ref="B66:E66"/>
    <mergeCell ref="A34:E34"/>
    <mergeCell ref="A39:E39"/>
    <mergeCell ref="A44:E44"/>
    <mergeCell ref="A46:E46"/>
    <mergeCell ref="A52:E52"/>
    <mergeCell ref="A60:E60"/>
    <mergeCell ref="B61:E6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2026-05-08T00:30:13Z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