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✅ Checklist Implementación" sheetId="1" r:id="rId4"/>
    <sheet state="visible" name="📋 Cómo usar + Blindaje" sheetId="2" r:id="rId5"/>
  </sheets>
  <definedNames/>
  <calcPr/>
  <extLst>
    <ext uri="GoogleSheetsCustomDataVersion2">
      <go:sheetsCustomData xmlns:go="http://customooxmlschemas.google.com/" r:id="rId6" roundtripDataChecksum="El0BH6fCMJnymtQJdBOAOtl7VQnf5rvz4+Q64zTWwWQ="/>
    </ext>
  </extLst>
</workbook>
</file>

<file path=xl/sharedStrings.xml><?xml version="1.0" encoding="utf-8"?>
<sst xmlns="http://schemas.openxmlformats.org/spreadsheetml/2006/main" count="305" uniqueCount="194">
  <si>
    <t>◆  J O I N S C L E E</t>
  </si>
  <si>
    <t>Checklist de Implementación · Sistema de Ventas (Llave en Mano)</t>
  </si>
  <si>
    <t>Documento 01 de la carpeta compartida · Fiel al Contrato de Prestación de Servicios</t>
  </si>
  <si>
    <t>🏢 Cliente:</t>
  </si>
  <si>
    <t>[ Nombre del cliente ]</t>
  </si>
  <si>
    <t>📅 Inicio efectivo:</t>
  </si>
  <si>
    <t>💳 Plan de pago:</t>
  </si>
  <si>
    <t>[ A: $2.500 · B: 2x$1.350 · C: 3x$1.000 ]</t>
  </si>
  <si>
    <t>⏱️ Plazo:</t>
  </si>
  <si>
    <t>14 a 21 días</t>
  </si>
  <si>
    <t>📁 Carpeta Drive:</t>
  </si>
  <si>
    <t>[ Pegar enlace de la carpeta ]</t>
  </si>
  <si>
    <t>🗓️ Fecha límite (día 21):</t>
  </si>
  <si>
    <t>📊 PROGRESO GENERAL</t>
  </si>
  <si>
    <t>Estados:  ⬜ Pendiente   🔄 En curso   ✅ Hecho   ⛔ Bloqueado   ➖ N/A</t>
  </si>
  <si>
    <t>Avance por fase</t>
  </si>
  <si>
    <t>Fase</t>
  </si>
  <si>
    <t>Progreso</t>
  </si>
  <si>
    <t>%</t>
  </si>
  <si>
    <t>🚦 ARRANQUE — Condiciones de Inicio Efectivo</t>
  </si>
  <si>
    <t>🔑 ACCESOS Y MATERIALES DEL CLIENTE</t>
  </si>
  <si>
    <t>🔍 F 0 — Diagnóstico</t>
  </si>
  <si>
    <t>🧭 F 1 — Diseño de la Estructura</t>
  </si>
  <si>
    <t>⚙️ F 2 — Implementación Técnica</t>
  </si>
  <si>
    <t>🎓 F 3 — Formación y Entrega</t>
  </si>
  <si>
    <t>🛟 F 4 — Soporte Post-Instalación</t>
  </si>
  <si>
    <t>⚖️ BLINDAJE / CIERRE LEGAL</t>
  </si>
  <si>
    <t>Estado</t>
  </si>
  <si>
    <t>Ítem / Tarea</t>
  </si>
  <si>
    <t>Qué valida / Detalle</t>
  </si>
  <si>
    <t>Responsable</t>
  </si>
  <si>
    <t>Cláusula</t>
  </si>
  <si>
    <t>Fecha ✅</t>
  </si>
  <si>
    <t>Evidencia / Notas</t>
  </si>
  <si>
    <t>🚦  ARRANQUE — Condiciones de Inicio Efectivo</t>
  </si>
  <si>
    <t>El cronograma de 14–21 días y la garantía SOLO empiezan a correr cuando se cumplen estos 3 puntos.</t>
  </si>
  <si>
    <t>⬜ Pendiente</t>
  </si>
  <si>
    <t>✍️ Contrato firmado electrónicamente (GHL)</t>
  </si>
  <si>
    <t>Firma de ambas partes en GoHighLevel u otra plataforma de firma.</t>
  </si>
  <si>
    <t>Cliente</t>
  </si>
  <si>
    <t>Cl. 20</t>
  </si>
  <si>
    <t>💳 Pago inicial / total recibido</t>
  </si>
  <si>
    <t>Según opción elegida: A (pago único), B (2 pagos) o C (3 pagos).</t>
  </si>
  <si>
    <t>Cl. 5</t>
  </si>
  <si>
    <t>🔑 Accesos y materiales mínimos entregados</t>
  </si>
  <si>
    <t>Sin esto el proyecto NO inicia (ver sección de Accesos).</t>
  </si>
  <si>
    <t>Cl. 4 / 9</t>
  </si>
  <si>
    <t>📅 Fecha de inicio efectiva confirmada y registrada</t>
  </si>
  <si>
    <t>Se anota la fecha en el encabezado. Desde aquí corre el plazo.</t>
  </si>
  <si>
    <t>JoinsClee</t>
  </si>
  <si>
    <t>Cl. 4</t>
  </si>
  <si>
    <t>🔑  ACCESOS Y MATERIALES DEL CLIENTE</t>
  </si>
  <si>
    <t>BLINDAJE: cada retraso del cliente aquí suspende AUTOMÁTICAMENTE el cronograma y la garantía. Documentar fecha solicitado vs. entregado.</t>
  </si>
  <si>
    <t>📱 WhatsApp Business: número + verificación</t>
  </si>
  <si>
    <t>Necesario para integrar WhatsApp al CRM.</t>
  </si>
  <si>
    <t>Cl. 3 / 9</t>
  </si>
  <si>
    <t>📲 Meta Business / Instagram / Facebook (permisos)</t>
  </si>
  <si>
    <t>Accesos a páginas y activos publicitarios si aplica.</t>
  </si>
  <si>
    <t>Cl. 9</t>
  </si>
  <si>
    <t>🌐 Dominio + acceso a DNS</t>
  </si>
  <si>
    <t>Para conectar landing, correos y subdominios.</t>
  </si>
  <si>
    <t>🎨 Logos, paleta, imágenes y activos de marca</t>
  </si>
  <si>
    <t>Material gráfico para landing y sistema.</t>
  </si>
  <si>
    <t>Cl. 9 / 12</t>
  </si>
  <si>
    <t>✍️ Textos, testimonios y oferta documentada</t>
  </si>
  <si>
    <t>Copy base, casos, garantías y promesa de la oferta.</t>
  </si>
  <si>
    <t>🧰 Accesos a herramientas actuales</t>
  </si>
  <si>
    <t>Email, pasarela de pago, formularios, etc. (según aplique).</t>
  </si>
  <si>
    <t>📊 Info del proceso de ventas actual y métricas</t>
  </si>
  <si>
    <t>Cómo venden hoy, canales y puntos de fuga conocidos.</t>
  </si>
  <si>
    <t>⚖️ Cliente confirma autorización legal de su base de datos</t>
  </si>
  <si>
    <t>Consentimiento para contactar leads por WhatsApp/email/SMS.</t>
  </si>
  <si>
    <t>Cl. 9 / 13</t>
  </si>
  <si>
    <t>🔍  FASE 0 — Diagnóstico  ·  Día 0</t>
  </si>
  <si>
    <t>Revisamos la situación actual y CERRAMOS el alcance concreto. Todo lo que no quede aquí es cambio de alcance (Cl. 10).</t>
  </si>
  <si>
    <t>🗂️ Revisión de oferta, canales, herramientas y captación</t>
  </si>
  <si>
    <t>Foto real del negocio antes de construir.</t>
  </si>
  <si>
    <t>🕳️ Identificación de puntos de fuga y oportunidades</t>
  </si>
  <si>
    <t>Dónde se pierden leads y qué automatizar primero.</t>
  </si>
  <si>
    <t>📄 Entrega del Diagnóstico inicial (PDF)  ·  Bono 1</t>
  </si>
  <si>
    <t>Documento con hallazgos y prioridades.</t>
  </si>
  <si>
    <t>Cl. 6</t>
  </si>
  <si>
    <t>🎯 Definición y registro del ALCANCE concreto</t>
  </si>
  <si>
    <t>Qué funnels (máx. 3), integraciones y entregables exactos.</t>
  </si>
  <si>
    <t>Cl. 3 / 10</t>
  </si>
  <si>
    <t>✅ Cliente revisa y valida el alcance del diagnóstico</t>
  </si>
  <si>
    <t>Confirmación de que el alcance refleja sus necesidades.</t>
  </si>
  <si>
    <t>🧭  FASE 1 — Diseño de la Estructura  ·  Día 1–5</t>
  </si>
  <si>
    <t>Diseño de la arquitectura. Incluye el GATE de aprobación: no se implementa nada sin el OK escrito del cliente.</t>
  </si>
  <si>
    <t>🏗️ Arquitectura de funnel, CRM, automatizaciones y pipeline</t>
  </si>
  <si>
    <t>Estructura técnica adaptada al modelo del cliente.</t>
  </si>
  <si>
    <t>🗺️ Entrega del Mapa Visual del Funnel y CRM  ·  Bono 2</t>
  </si>
  <si>
    <t>Diagrama de cómo entra el lead y qué se activa.</t>
  </si>
  <si>
    <t>🚦 GATE: Cliente APRUEBA por escrito la estructura</t>
  </si>
  <si>
    <t>Sin esta aprobación NO se avanza a implementación.</t>
  </si>
  <si>
    <t>⚙️  FASE 2 — Implementación Técnica  ·  Día 5–14</t>
  </si>
  <si>
    <t>Construcción del sistema acordado en el diagnóstico (hasta 3 funnels).</t>
  </si>
  <si>
    <t>🗃️ CRM de ventas configurado</t>
  </si>
  <si>
    <t>Leads, conversaciones, formularios, oportunidades y etapas.</t>
  </si>
  <si>
    <t>Cl. 3</t>
  </si>
  <si>
    <t>🔻 Funnel(s) acordados construidos (hasta 3)</t>
  </si>
  <si>
    <t>Captación, agendamiento, webinar, VSL, high ticket, etc.</t>
  </si>
  <si>
    <t>🖥️ Landing / página de conversión</t>
  </si>
  <si>
    <t>Diseñada para explicar la oferta y llevar al siguiente paso.</t>
  </si>
  <si>
    <t>💬 Integración de WhatsApp al CRM</t>
  </si>
  <si>
    <t>Depende de que el cliente haya entregado accesos y verificación.</t>
  </si>
  <si>
    <t>🤖 Automatizaciones de ventas</t>
  </si>
  <si>
    <t>Confirmación, recordatorios, seguimiento, recuperación, avisos, reagendamiento.</t>
  </si>
  <si>
    <t>📅 Calendario inteligente con recordatorios</t>
  </si>
  <si>
    <t>Agendamiento automático para reducir no-asistencias.</t>
  </si>
  <si>
    <t>🪜 Pipeline configurado por etapas</t>
  </si>
  <si>
    <t>Nuevo → contactado → agendado → asistió → propuesta → ganado/perdido.</t>
  </si>
  <si>
    <t>📲 App móvil del CRM configurada (Android/iOS)</t>
  </si>
  <si>
    <t>Acceso operativo desde dispositivos móviles.</t>
  </si>
  <si>
    <t>🧪 Pruebas de funcionamiento (end-to-end)</t>
  </si>
  <si>
    <t>Validamos que cada flujo dispara correctamente antes de entregar.</t>
  </si>
  <si>
    <t>Cl. 7</t>
  </si>
  <si>
    <t>🎓  FASE 3 — Formación y Entrega  ·  Día 14–21</t>
  </si>
  <si>
    <t>Formamos al cliente/equipo y firmamos el ACTA de entrega que cierra la garantía técnica.</t>
  </si>
  <si>
    <t>🧑‍🏫 Formación al cliente / equipo</t>
  </si>
  <si>
    <t>Revisar leads, mover oportunidades y operar el pipeline.</t>
  </si>
  <si>
    <t>📹 Material / grabación de formación entregado</t>
  </si>
  <si>
    <t>Queda guardado en la carpeta compartida.</t>
  </si>
  <si>
    <t>📋 ACTA DE ENTREGA firmada (sistema operativo según alcance)</t>
  </si>
  <si>
    <t>Documenta que la implementación cumple el alcance definido.</t>
  </si>
  <si>
    <t>Ambos</t>
  </si>
  <si>
    <t>✅ Cliente confirma 'sistema instalado y operativo'</t>
  </si>
  <si>
    <t>Cierra el plazo de implementación y activa el soporte.</t>
  </si>
  <si>
    <t>🛟  FASE 4 — Soporte Post-Instalación  ·  3 meses</t>
  </si>
  <si>
    <t>Acompañamiento operativo dentro del alcance. No incluye gestión diaria, nuevos funnels ni cierre de ventas.</t>
  </si>
  <si>
    <t>💬 Canal de soporte definido (Slack / email)</t>
  </si>
  <si>
    <t>Vía oficial de comunicación durante el soporte.</t>
  </si>
  <si>
    <t>Cl. 11 / 17</t>
  </si>
  <si>
    <t>📝 Bitácora de ajustes y correcciones</t>
  </si>
  <si>
    <t>Registro de cada solicitud para trazabilidad.</t>
  </si>
  <si>
    <t>Cl. 11</t>
  </si>
  <si>
    <t>⏰ Recordatorio: fin de los 3 meses de soporte</t>
  </si>
  <si>
    <t>Aviso al cliente antes de que termine el periodo.</t>
  </si>
  <si>
    <t>🔄 Recordatorio: HighLevel incluido 12 meses</t>
  </si>
  <si>
    <t>Tras el año, el cliente asume la suscripción.</t>
  </si>
  <si>
    <t>Cl. 8</t>
  </si>
  <si>
    <t>⚖️  BLINDAJE / CIERRE LEGAL</t>
  </si>
  <si>
    <t>Confirmaciones explícitas que nos cubren las espaldas. Marcar como hechas cuando el cliente lo entienda/firme.</t>
  </si>
  <si>
    <t>⚠️ Garantía cubre implementación técnica, NO ingresos ni ventas</t>
  </si>
  <si>
    <t>El cliente entiende que no garantizamos facturación ni leads.</t>
  </si>
  <si>
    <t>Cl. 7 / 14</t>
  </si>
  <si>
    <t>📑 Cambios de alcance cotizados y aprobados por escrito</t>
  </si>
  <si>
    <t>Todo lo fuera del diagnóstico se cotiza antes de ejecutar.</t>
  </si>
  <si>
    <t>Cl. 10</t>
  </si>
  <si>
    <t>🚫 Cliente informado de lo NO incluido</t>
  </si>
  <si>
    <t>Ads, dominios, consumos variables, closer/setter, nuevos funnels.</t>
  </si>
  <si>
    <t>🔐 Confidencialidad y uso de accesos solo para el servicio</t>
  </si>
  <si>
    <t>Ambas partes resguardan la información compartida.</t>
  </si>
  <si>
    <t>Cl. 13</t>
  </si>
  <si>
    <t>📁 Carpeta Drive compartida creada y entregada al cliente</t>
  </si>
  <si>
    <t>Esta checklist es el Documento 01 de esa carpeta.</t>
  </si>
  <si>
    <t>—</t>
  </si>
  <si>
    <t>Cómo usar esta checklist + Reglas de blindaje</t>
  </si>
  <si>
    <t>🟦 Cómo se usa</t>
  </si>
  <si>
    <t>1. Marca el Estado</t>
  </si>
  <si>
    <t>Usa el menú desplegable de la columna Estado: ⬜ Pendiente · 🔄 En curso · ✅ Hecho · ⛔ Bloqueado · ➖ N/A. Las barras de progreso se actualizan solas.</t>
  </si>
  <si>
    <t>2. Registra Fecha + Evidencia</t>
  </si>
  <si>
    <t>Cada vez que marques ✅ Hecho, anota la fecha y pega el enlace/captura en Evidencia. Eso es lo que nos cubre.</t>
  </si>
  <si>
    <t>3. Respeta los GATES 🚦</t>
  </si>
  <si>
    <t>No avances de fase sin la aprobación escrita del cliente (Fase 1) ni sin el Acta de entrega firmada (Fase 3).</t>
  </si>
  <si>
    <t>4. Onboarding</t>
  </si>
  <si>
    <t>Esta checklist se explica en el onboarding automatizado y vive como Documento 01 de la carpeta de Drive compartida con el cliente.</t>
  </si>
  <si>
    <t>🛡️ Reglas de oro (blindaje)</t>
  </si>
  <si>
    <t>⏸️ Reloj y garantía condicionados</t>
  </si>
  <si>
    <t>El plazo de 14–21 días y la garantía SOLO corren desde el Inicio Efectivo (contrato firmado + pago + accesos). Si el cliente se retrasa con accesos o aprobaciones, el cronograma se suspende (Cl. 4 y 9).</t>
  </si>
  <si>
    <t>🚦 Gate de aprobación (Fase 1)</t>
  </si>
  <si>
    <t>No se implementa nada sin el OK por escrito del cliente sobre la estructura. Deja el rastro en Evidencia (Cl. 4).</t>
  </si>
  <si>
    <t>📋 Acta de entrega (Fase 3)</t>
  </si>
  <si>
    <t>El sistema se considera entregado cuando el cliente firma/confirma que está operativo según el alcance. Eso cierra la garantía técnica (Cl. 7).</t>
  </si>
  <si>
    <t>📑 Cambios de alcance por escrito</t>
  </si>
  <si>
    <t>Todo lo que no quedó en el diagnóstico se cotiza y aprueba antes de ejecutar. Nada gratis 'de paso' (Cl. 10).</t>
  </si>
  <si>
    <t>⚠️ Garantía técnica, no de ventas</t>
  </si>
  <si>
    <t>Garantizamos sistema operativo, NO ingresos, leads ni facturación. Confírmalo con el cliente y márcalo (Cl. 7 y 14).</t>
  </si>
  <si>
    <t>🚫 Lo NO incluido</t>
  </si>
  <si>
    <t>Inversión en ads, dominios, consumos variables (SMS/WhatsApp/email), closer/setter y nuevos funnels fuera del alcance (Cl. 8).</t>
  </si>
  <si>
    <t>🔐 Confidencialidad y accesos</t>
  </si>
  <si>
    <t>Los accesos del cliente se usan solo para el servicio; ambas partes resguardan la información (Cl. 13).</t>
  </si>
  <si>
    <t>🗺️ Mapa rápido de cláusulas</t>
  </si>
  <si>
    <t>Cl. 3 / 6</t>
  </si>
  <si>
    <t>Alcance y entregables del sistema.</t>
  </si>
  <si>
    <t>Fases, cronograma e inicio efectivo.</t>
  </si>
  <si>
    <t>Inversión y formas de pago (A/B/C).</t>
  </si>
  <si>
    <t>Garantía de implementación (día 21).</t>
  </si>
  <si>
    <t>HighLevel y herramientas de terceros.</t>
  </si>
  <si>
    <t>Compromisos y accesos del cliente.</t>
  </si>
  <si>
    <t>Cambios de alcance.</t>
  </si>
  <si>
    <t>Soporte post-instalación (3 meses).</t>
  </si>
  <si>
    <t>Cl. 13 / 14</t>
  </si>
  <si>
    <t>Confidencialidad y límite de responsabilidad.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</si>
</sst>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9">
    <font>
      <sz val="11.0"/>
      <color theme="1"/>
      <name val="Calibri"/>
      <scheme val="minor"/>
    </font>
    <font>
      <b/>
      <sz val="12.0"/>
      <color rgb="FF2D6BFF"/>
      <name val="Arial"/>
    </font>
    <font>
      <b/>
      <sz val="18.0"/>
      <color rgb="FF070A13"/>
      <name val="Arial"/>
    </font>
    <font>
      <i/>
      <sz val="9.0"/>
      <color rgb="FF64748B"/>
      <name val="Arial"/>
    </font>
    <font>
      <b/>
      <sz val="9.0"/>
      <color rgb="FF334155"/>
      <name val="Arial"/>
    </font>
    <font>
      <sz val="9.0"/>
      <color rgb="FF0070F3"/>
      <name val="Arial"/>
    </font>
    <font/>
    <font>
      <b/>
      <sz val="9.0"/>
      <color rgb="FF991B1B"/>
      <name val="Arial"/>
    </font>
    <font>
      <b/>
      <sz val="11.0"/>
      <color rgb="FF070A13"/>
      <name val="Arial"/>
    </font>
    <font>
      <b/>
      <sz val="20.0"/>
      <color rgb="FF0070F3"/>
      <name val="Arial"/>
    </font>
    <font>
      <b/>
      <sz val="14.0"/>
      <color rgb="FF0070F3"/>
      <name val="Consolas"/>
    </font>
    <font>
      <sz val="9.0"/>
      <color rgb="FF64748B"/>
      <name val="Arial"/>
    </font>
    <font>
      <b/>
      <sz val="9.0"/>
      <color rgb="FFFFFFFF"/>
      <name val="Arial"/>
    </font>
    <font>
      <sz val="9.0"/>
      <color rgb="FF334155"/>
      <name val="Arial"/>
    </font>
    <font>
      <b/>
      <sz val="10.0"/>
      <color rgb="FF2D6BFF"/>
      <name val="Consolas"/>
    </font>
    <font>
      <b/>
      <sz val="9.0"/>
      <color rgb="FF1E293B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475569"/>
      <name val="Arial"/>
    </font>
    <font>
      <sz val="10.0"/>
      <color rgb="FF1E293B"/>
      <name val="Arial"/>
    </font>
    <font>
      <sz val="9.0"/>
      <color rgb="FF475569"/>
      <name val="Arial"/>
    </font>
    <font>
      <b/>
      <sz val="9.0"/>
      <color rgb="FFB45309"/>
      <name val="Arial"/>
    </font>
    <font>
      <sz val="9.0"/>
      <color rgb="FF1E293B"/>
      <name val="Arial"/>
    </font>
    <font>
      <b/>
      <sz val="9.0"/>
      <color rgb="FF1D4ED8"/>
      <name val="Arial"/>
    </font>
    <font>
      <b/>
      <sz val="9.0"/>
      <color rgb="FF7C3AED"/>
      <name val="Arial"/>
    </font>
    <font>
      <b/>
      <sz val="16.0"/>
      <color rgb="FF070A13"/>
      <name val="Arial"/>
    </font>
    <font>
      <b/>
      <sz val="10.0"/>
      <color rgb="FF334155"/>
      <name val="Arial"/>
    </font>
    <font>
      <sz val="10.0"/>
      <color rgb="FF47556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1B2A4A"/>
        <bgColor rgb="FF1B2A4A"/>
      </patternFill>
    </fill>
    <fill>
      <patternFill patternType="solid">
        <fgColor rgb="FF0070F3"/>
        <bgColor rgb="FF0070F3"/>
      </patternFill>
    </fill>
    <fill>
      <patternFill patternType="solid">
        <fgColor rgb="FF102347"/>
        <bgColor rgb="FF102347"/>
      </patternFill>
    </fill>
    <fill>
      <patternFill patternType="solid">
        <fgColor rgb="FFF1F5F9"/>
        <bgColor rgb="FFF1F5F9"/>
      </patternFill>
    </fill>
  </fills>
  <borders count="9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0"/>
    </xf>
    <xf borderId="2" fillId="3" fontId="5" numFmtId="0" xfId="0" applyAlignment="1" applyBorder="1" applyFill="1" applyFont="1">
      <alignment horizontal="left" shrinkToFit="0" vertical="center" wrapText="0"/>
    </xf>
    <xf borderId="3" fillId="0" fontId="6" numFmtId="0" xfId="0" applyBorder="1" applyFont="1"/>
    <xf borderId="2" fillId="3" fontId="5" numFmtId="164" xfId="0" applyAlignment="1" applyBorder="1" applyFont="1" applyNumberFormat="1">
      <alignment horizontal="left" shrinkToFit="0" vertical="center" wrapText="0"/>
    </xf>
    <xf borderId="4" fillId="0" fontId="6" numFmtId="0" xfId="0" applyBorder="1" applyFont="1"/>
    <xf borderId="2" fillId="3" fontId="7" numFmtId="164" xfId="0" applyAlignment="1" applyBorder="1" applyFont="1" applyNumberFormat="1">
      <alignment horizontal="left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9" xfId="0" applyAlignment="1" applyFont="1" applyNumberFormat="1">
      <alignment horizontal="righ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shrinkToFit="0" vertical="bottom" wrapText="0"/>
    </xf>
    <xf borderId="1" fillId="4" fontId="12" numFmtId="0" xfId="0" applyAlignment="1" applyBorder="1" applyFill="1" applyFont="1">
      <alignment horizontal="left" shrinkToFit="0" vertical="center" wrapText="0"/>
    </xf>
    <xf borderId="2" fillId="4" fontId="12" numFmtId="0" xfId="0" applyAlignment="1" applyBorder="1" applyFont="1">
      <alignment horizontal="left" shrinkToFit="0" vertical="center" wrapText="0"/>
    </xf>
    <xf borderId="1" fillId="4" fontId="12" numFmtId="0" xfId="0" applyAlignment="1" applyBorder="1" applyFont="1">
      <alignment horizontal="center" shrinkToFit="0" vertical="center" wrapText="0"/>
    </xf>
    <xf borderId="1" fillId="2" fontId="13" numFmtId="0" xfId="0" applyAlignment="1" applyBorder="1" applyFont="1">
      <alignment horizontal="left" shrinkToFit="0" vertical="center" wrapText="0"/>
    </xf>
    <xf borderId="2" fillId="3" fontId="14" numFmtId="0" xfId="0" applyAlignment="1" applyBorder="1" applyFont="1">
      <alignment horizontal="left" shrinkToFit="0" vertical="center" wrapText="0"/>
    </xf>
    <xf borderId="1" fillId="3" fontId="15" numFmtId="9" xfId="0" applyAlignment="1" applyBorder="1" applyFont="1" applyNumberFormat="1">
      <alignment horizontal="center" shrinkToFit="0" vertical="center" wrapText="0"/>
    </xf>
    <xf borderId="1" fillId="4" fontId="16" numFmtId="0" xfId="0" applyAlignment="1" applyBorder="1" applyFont="1">
      <alignment horizontal="center" shrinkToFit="0" vertical="center" wrapText="0"/>
    </xf>
    <xf borderId="1" fillId="4" fontId="16" numFmtId="0" xfId="0" applyAlignment="1" applyBorder="1" applyFont="1">
      <alignment horizontal="left" shrinkToFit="0" vertical="center" wrapText="0"/>
    </xf>
    <xf borderId="5" fillId="5" fontId="17" numFmtId="0" xfId="0" applyAlignment="1" applyBorder="1" applyFill="1" applyFont="1">
      <alignment shrinkToFit="0" vertical="bottom" wrapText="0"/>
    </xf>
    <xf borderId="6" fillId="6" fontId="18" numFmtId="0" xfId="0" applyAlignment="1" applyBorder="1" applyFill="1" applyFont="1">
      <alignment horizontal="left" shrinkToFit="0" vertical="center" wrapText="0"/>
    </xf>
    <xf borderId="7" fillId="0" fontId="6" numFmtId="0" xfId="0" applyBorder="1" applyFont="1"/>
    <xf borderId="8" fillId="0" fontId="6" numFmtId="0" xfId="0" applyBorder="1" applyFont="1"/>
    <xf borderId="6" fillId="2" fontId="3" numFmtId="0" xfId="0" applyAlignment="1" applyBorder="1" applyFont="1">
      <alignment horizontal="left" shrinkToFit="0" vertical="center" wrapText="1"/>
    </xf>
    <xf borderId="1" fillId="7" fontId="19" numFmtId="0" xfId="0" applyAlignment="1" applyBorder="1" applyFill="1" applyFont="1">
      <alignment horizontal="center" shrinkToFit="0" vertical="center" wrapText="0"/>
    </xf>
    <xf borderId="1" fillId="3" fontId="20" numFmtId="0" xfId="0" applyAlignment="1" applyBorder="1" applyFont="1">
      <alignment horizontal="left" shrinkToFit="0" vertical="center" wrapText="1"/>
    </xf>
    <xf borderId="1" fillId="3" fontId="21" numFmtId="0" xfId="0" applyAlignment="1" applyBorder="1" applyFont="1">
      <alignment horizontal="left" shrinkToFit="0" vertical="center" wrapText="1"/>
    </xf>
    <xf borderId="1" fillId="3" fontId="22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3" fontId="23" numFmtId="0" xfId="0" applyAlignment="1" applyBorder="1" applyFont="1">
      <alignment horizontal="center" shrinkToFit="0" vertical="center" wrapText="0"/>
    </xf>
    <xf borderId="1" fillId="3" fontId="24" numFmtId="0" xfId="0" applyAlignment="1" applyBorder="1" applyFont="1">
      <alignment horizontal="center" shrinkToFit="0" vertical="center" wrapText="0"/>
    </xf>
    <xf borderId="1" fillId="3" fontId="2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1" fillId="2" fontId="27" numFmtId="0" xfId="0" applyAlignment="1" applyBorder="1" applyFont="1">
      <alignment horizontal="left" shrinkToFit="0" vertical="center" wrapText="1"/>
    </xf>
    <xf borderId="1" fillId="3" fontId="2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>
        <b/>
        <sz val="10.0"/>
        <color rgb="FF166534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10.0"/>
        <color rgb="FF92400E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991B1B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64748B"/>
        <name val="Arial"/>
      </font>
      <fill>
        <patternFill patternType="solid">
          <fgColor rgb="FFE2E8F0"/>
          <bgColor rgb="FFE2E8F0"/>
        </patternFill>
      </fill>
      <border/>
    </dxf>
    <dxf>
      <font>
        <b/>
        <sz val="10.0"/>
        <color rgb="FF475569"/>
        <name val="Arial"/>
      </font>
      <fill>
        <patternFill patternType="solid">
          <fgColor rgb="FFF1F5F9"/>
          <bgColor rgb="FFF1F5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45.14"/>
    <col customWidth="1" min="3" max="3" width="40.0"/>
    <col customWidth="1" min="4" max="4" width="50.0"/>
    <col customWidth="1" min="5" max="5" width="24.71"/>
    <col customWidth="1" min="6" max="6" width="11.0"/>
    <col customWidth="1" min="7" max="7" width="14.0"/>
    <col customWidth="1" min="8" max="8" width="30.0"/>
    <col customWidth="1" min="9" max="26" width="8.71"/>
  </cols>
  <sheetData>
    <row r="2">
      <c r="B2" s="1" t="s">
        <v>0</v>
      </c>
    </row>
    <row r="3" ht="25.5" customHeight="1">
      <c r="B3" s="2" t="s">
        <v>1</v>
      </c>
    </row>
    <row r="4">
      <c r="B4" s="3" t="s">
        <v>2</v>
      </c>
    </row>
    <row r="6" ht="19.5" customHeight="1">
      <c r="B6" s="4" t="s">
        <v>3</v>
      </c>
      <c r="C6" s="5" t="s">
        <v>4</v>
      </c>
      <c r="D6" s="6"/>
      <c r="E6" s="4" t="s">
        <v>5</v>
      </c>
      <c r="F6" s="7"/>
      <c r="G6" s="8"/>
      <c r="H6" s="6"/>
    </row>
    <row r="7" ht="19.5" customHeight="1">
      <c r="B7" s="4" t="s">
        <v>6</v>
      </c>
      <c r="C7" s="5" t="s">
        <v>7</v>
      </c>
      <c r="D7" s="6"/>
      <c r="E7" s="4" t="s">
        <v>8</v>
      </c>
      <c r="F7" s="5" t="s">
        <v>9</v>
      </c>
      <c r="G7" s="8"/>
      <c r="H7" s="6"/>
    </row>
    <row r="8" ht="19.5" customHeight="1">
      <c r="B8" s="4" t="s">
        <v>10</v>
      </c>
      <c r="C8" s="5" t="s">
        <v>11</v>
      </c>
      <c r="D8" s="6"/>
      <c r="E8" s="4" t="s">
        <v>12</v>
      </c>
      <c r="F8" s="9" t="str">
        <f>IF($F$6="","",$F$6+21)</f>
        <v/>
      </c>
      <c r="G8" s="8"/>
      <c r="H8" s="6"/>
    </row>
    <row r="10">
      <c r="B10" s="10" t="s">
        <v>13</v>
      </c>
      <c r="H10" s="11">
        <f>IFERROR((COUNTIF(B30:B33,"✅ Hecho")+COUNTIF(B37:B44,"✅ Hecho")+COUNTIF(B48:B52,"✅ Hecho")+COUNTIF(B56:B58,"✅ Hecho")+COUNTIF(B62:B70,"✅ Hecho")+COUNTIF(B74:B77,"✅ Hecho")+COUNTIF(B81:B84,"✅ Hecho")+COUNTIF(B88:B92,"✅ Hecho"))/((COUNTA(B30:B33)-COUNTIF(B30:B33,"➖ N/A"))+(COUNTA(B37:B44)-COUNTIF(B37:B44,"➖ N/A"))+(COUNTA(B48:B52)-COUNTIF(B48:B52,"➖ N/A"))+(COUNTA(B56:B58)-COUNTIF(B56:B58,"➖ N/A"))+(COUNTA(B62:B70)-COUNTIF(B62:B70,"➖ N/A"))+(COUNTA(B74:B77)-COUNTIF(B74:B77,"➖ N/A"))+(COUNTA(B81:B84)-COUNTIF(B81:B84,"➖ N/A"))+(COUNTA(B88:B92)-COUNTIF(B88:B92,"➖ N/A"))),0)</f>
        <v>0</v>
      </c>
    </row>
    <row r="11" ht="21.75" customHeight="1">
      <c r="B11" s="12" t="str">
        <f>REPT("█",ROUND($H$10*30,0))&amp;REPT("░",30-ROUND($H$10*30,0))</f>
        <v>░░░░░░░░░░░░░░░░░░░░░░░░░░░░░░</v>
      </c>
    </row>
    <row r="12">
      <c r="B12" s="13" t="s">
        <v>14</v>
      </c>
    </row>
    <row r="14">
      <c r="B14" s="10" t="s">
        <v>15</v>
      </c>
    </row>
    <row r="15">
      <c r="B15" s="14" t="s">
        <v>16</v>
      </c>
      <c r="C15" s="15" t="s">
        <v>17</v>
      </c>
      <c r="D15" s="8"/>
      <c r="E15" s="8"/>
      <c r="F15" s="8"/>
      <c r="G15" s="6"/>
      <c r="H15" s="16" t="s">
        <v>18</v>
      </c>
    </row>
    <row r="16" ht="18.0" customHeight="1">
      <c r="B16" s="17" t="s">
        <v>19</v>
      </c>
      <c r="C16" s="18" t="str">
        <f t="shared" ref="C16:C23" si="1">REPT("█",ROUND(H16*24,0))&amp;REPT("░",24-ROUND(H16*24,0))</f>
        <v>░░░░░░░░░░░░░░░░░░░░░░░░</v>
      </c>
      <c r="D16" s="8"/>
      <c r="E16" s="8"/>
      <c r="F16" s="8"/>
      <c r="G16" s="6"/>
      <c r="H16" s="19">
        <f>IFERROR(COUNTIF(B30:B33,"✅ Hecho")/(COUNTA(B30:B33)-COUNTIF(B30:B33,"➖ N/A")),0)</f>
        <v>0</v>
      </c>
    </row>
    <row r="17" ht="18.0" customHeight="1">
      <c r="B17" s="17" t="s">
        <v>20</v>
      </c>
      <c r="C17" s="18" t="str">
        <f t="shared" si="1"/>
        <v>░░░░░░░░░░░░░░░░░░░░░░░░</v>
      </c>
      <c r="D17" s="8"/>
      <c r="E17" s="8"/>
      <c r="F17" s="8"/>
      <c r="G17" s="6"/>
      <c r="H17" s="19">
        <f>IFERROR(COUNTIF(B37:B44,"✅ Hecho")/(COUNTA(B37:B44)-COUNTIF(B37:B44,"➖ N/A")),0)</f>
        <v>0</v>
      </c>
    </row>
    <row r="18" ht="18.0" customHeight="1">
      <c r="B18" s="17" t="s">
        <v>21</v>
      </c>
      <c r="C18" s="18" t="str">
        <f t="shared" si="1"/>
        <v>░░░░░░░░░░░░░░░░░░░░░░░░</v>
      </c>
      <c r="D18" s="8"/>
      <c r="E18" s="8"/>
      <c r="F18" s="8"/>
      <c r="G18" s="6"/>
      <c r="H18" s="19">
        <f>IFERROR(COUNTIF(B48:B52,"✅ Hecho")/(COUNTA(B48:B52)-COUNTIF(B48:B52,"➖ N/A")),0)</f>
        <v>0</v>
      </c>
    </row>
    <row r="19" ht="18.0" customHeight="1">
      <c r="B19" s="17" t="s">
        <v>22</v>
      </c>
      <c r="C19" s="18" t="str">
        <f t="shared" si="1"/>
        <v>░░░░░░░░░░░░░░░░░░░░░░░░</v>
      </c>
      <c r="D19" s="8"/>
      <c r="E19" s="8"/>
      <c r="F19" s="8"/>
      <c r="G19" s="6"/>
      <c r="H19" s="19">
        <f>IFERROR(COUNTIF(B56:B58,"✅ Hecho")/(COUNTA(B56:B58)-COUNTIF(B56:B58,"➖ N/A")),0)</f>
        <v>0</v>
      </c>
    </row>
    <row r="20" ht="18.0" customHeight="1">
      <c r="B20" s="17" t="s">
        <v>23</v>
      </c>
      <c r="C20" s="18" t="str">
        <f t="shared" si="1"/>
        <v>░░░░░░░░░░░░░░░░░░░░░░░░</v>
      </c>
      <c r="D20" s="8"/>
      <c r="E20" s="8"/>
      <c r="F20" s="8"/>
      <c r="G20" s="6"/>
      <c r="H20" s="19">
        <f>IFERROR(COUNTIF(B62:B70,"✅ Hecho")/(COUNTA(B62:B70)-COUNTIF(B62:B70,"➖ N/A")),0)</f>
        <v>0</v>
      </c>
    </row>
    <row r="21" ht="18.0" customHeight="1">
      <c r="B21" s="17" t="s">
        <v>24</v>
      </c>
      <c r="C21" s="18" t="str">
        <f t="shared" si="1"/>
        <v>░░░░░░░░░░░░░░░░░░░░░░░░</v>
      </c>
      <c r="D21" s="8"/>
      <c r="E21" s="8"/>
      <c r="F21" s="8"/>
      <c r="G21" s="6"/>
      <c r="H21" s="19">
        <f>IFERROR(COUNTIF(B74:B77,"✅ Hecho")/(COUNTA(B74:B77)-COUNTIF(B74:B77,"➖ N/A")),0)</f>
        <v>0</v>
      </c>
    </row>
    <row r="22" ht="18.0" customHeight="1">
      <c r="B22" s="17" t="s">
        <v>25</v>
      </c>
      <c r="C22" s="18" t="str">
        <f t="shared" si="1"/>
        <v>░░░░░░░░░░░░░░░░░░░░░░░░</v>
      </c>
      <c r="D22" s="8"/>
      <c r="E22" s="8"/>
      <c r="F22" s="8"/>
      <c r="G22" s="6"/>
      <c r="H22" s="19">
        <f>IFERROR(COUNTIF(B81:B84,"✅ Hecho")/(COUNTA(B81:B84)-COUNTIF(B81:B84,"➖ N/A")),0)</f>
        <v>0</v>
      </c>
    </row>
    <row r="23" ht="18.0" customHeight="1">
      <c r="B23" s="17" t="s">
        <v>26</v>
      </c>
      <c r="C23" s="18" t="str">
        <f t="shared" si="1"/>
        <v>░░░░░░░░░░░░░░░░░░░░░░░░</v>
      </c>
      <c r="D23" s="8"/>
      <c r="E23" s="8"/>
      <c r="F23" s="8"/>
      <c r="G23" s="6"/>
      <c r="H23" s="19">
        <f>IFERROR(COUNTIF(B88:B92,"✅ Hecho")/(COUNTA(B88:B92)-COUNTIF(B88:B92,"➖ N/A")),0)</f>
        <v>0</v>
      </c>
    </row>
    <row r="24" ht="15.75" customHeight="1"/>
    <row r="25" ht="15.75" customHeight="1"/>
    <row r="26" ht="15.75" customHeight="1"/>
    <row r="27" ht="21.75" customHeight="1">
      <c r="A27" s="20"/>
      <c r="B27" s="20" t="s">
        <v>27</v>
      </c>
      <c r="C27" s="21" t="s">
        <v>28</v>
      </c>
      <c r="D27" s="21" t="s">
        <v>29</v>
      </c>
      <c r="E27" s="20" t="s">
        <v>30</v>
      </c>
      <c r="F27" s="20" t="s">
        <v>31</v>
      </c>
      <c r="G27" s="20" t="s">
        <v>32</v>
      </c>
      <c r="H27" s="21" t="s">
        <v>33</v>
      </c>
    </row>
    <row r="28" ht="24.0" customHeight="1">
      <c r="A28" s="22"/>
      <c r="B28" s="23" t="s">
        <v>34</v>
      </c>
      <c r="C28" s="24"/>
      <c r="D28" s="24"/>
      <c r="E28" s="24"/>
      <c r="F28" s="24"/>
      <c r="G28" s="24"/>
      <c r="H28" s="25"/>
    </row>
    <row r="29" ht="27.75" customHeight="1">
      <c r="B29" s="26" t="s">
        <v>35</v>
      </c>
      <c r="C29" s="24"/>
      <c r="D29" s="24"/>
      <c r="E29" s="24"/>
      <c r="F29" s="24"/>
      <c r="G29" s="24"/>
      <c r="H29" s="25"/>
    </row>
    <row r="30" ht="30.0" customHeight="1">
      <c r="B30" s="27" t="s">
        <v>36</v>
      </c>
      <c r="C30" s="28" t="s">
        <v>37</v>
      </c>
      <c r="D30" s="29" t="s">
        <v>38</v>
      </c>
      <c r="E30" s="30" t="s">
        <v>39</v>
      </c>
      <c r="F30" s="31" t="s">
        <v>40</v>
      </c>
      <c r="G30" s="32"/>
      <c r="H30" s="29"/>
    </row>
    <row r="31" ht="30.0" customHeight="1">
      <c r="B31" s="27" t="s">
        <v>36</v>
      </c>
      <c r="C31" s="28" t="s">
        <v>41</v>
      </c>
      <c r="D31" s="29" t="s">
        <v>42</v>
      </c>
      <c r="E31" s="30" t="s">
        <v>39</v>
      </c>
      <c r="F31" s="31" t="s">
        <v>43</v>
      </c>
      <c r="G31" s="32"/>
      <c r="H31" s="29"/>
    </row>
    <row r="32" ht="30.0" customHeight="1">
      <c r="B32" s="27" t="s">
        <v>36</v>
      </c>
      <c r="C32" s="28" t="s">
        <v>44</v>
      </c>
      <c r="D32" s="29" t="s">
        <v>45</v>
      </c>
      <c r="E32" s="30" t="s">
        <v>39</v>
      </c>
      <c r="F32" s="31" t="s">
        <v>46</v>
      </c>
      <c r="G32" s="32"/>
      <c r="H32" s="29"/>
    </row>
    <row r="33" ht="30.0" customHeight="1">
      <c r="B33" s="27" t="s">
        <v>36</v>
      </c>
      <c r="C33" s="28" t="s">
        <v>47</v>
      </c>
      <c r="D33" s="29" t="s">
        <v>48</v>
      </c>
      <c r="E33" s="33" t="s">
        <v>49</v>
      </c>
      <c r="F33" s="31" t="s">
        <v>50</v>
      </c>
      <c r="G33" s="32"/>
      <c r="H33" s="29"/>
    </row>
    <row r="34" ht="15.75" customHeight="1"/>
    <row r="35" ht="24.0" customHeight="1">
      <c r="A35" s="22"/>
      <c r="B35" s="23" t="s">
        <v>51</v>
      </c>
      <c r="C35" s="24"/>
      <c r="D35" s="24"/>
      <c r="E35" s="24"/>
      <c r="F35" s="24"/>
      <c r="G35" s="24"/>
      <c r="H35" s="25"/>
    </row>
    <row r="36" ht="27.75" customHeight="1">
      <c r="B36" s="26" t="s">
        <v>52</v>
      </c>
      <c r="C36" s="24"/>
      <c r="D36" s="24"/>
      <c r="E36" s="24"/>
      <c r="F36" s="24"/>
      <c r="G36" s="24"/>
      <c r="H36" s="25"/>
    </row>
    <row r="37" ht="30.0" customHeight="1">
      <c r="B37" s="27" t="s">
        <v>36</v>
      </c>
      <c r="C37" s="28" t="s">
        <v>53</v>
      </c>
      <c r="D37" s="29" t="s">
        <v>54</v>
      </c>
      <c r="E37" s="30" t="s">
        <v>39</v>
      </c>
      <c r="F37" s="31" t="s">
        <v>55</v>
      </c>
      <c r="G37" s="32"/>
      <c r="H37" s="29"/>
    </row>
    <row r="38" ht="30.0" customHeight="1">
      <c r="B38" s="27" t="s">
        <v>36</v>
      </c>
      <c r="C38" s="28" t="s">
        <v>56</v>
      </c>
      <c r="D38" s="29" t="s">
        <v>57</v>
      </c>
      <c r="E38" s="30" t="s">
        <v>39</v>
      </c>
      <c r="F38" s="31" t="s">
        <v>58</v>
      </c>
      <c r="G38" s="32"/>
      <c r="H38" s="29"/>
    </row>
    <row r="39" ht="30.0" customHeight="1">
      <c r="B39" s="27" t="s">
        <v>36</v>
      </c>
      <c r="C39" s="28" t="s">
        <v>59</v>
      </c>
      <c r="D39" s="29" t="s">
        <v>60</v>
      </c>
      <c r="E39" s="30" t="s">
        <v>39</v>
      </c>
      <c r="F39" s="31" t="s">
        <v>58</v>
      </c>
      <c r="G39" s="32"/>
      <c r="H39" s="29"/>
    </row>
    <row r="40" ht="30.0" customHeight="1">
      <c r="B40" s="27" t="s">
        <v>36</v>
      </c>
      <c r="C40" s="28" t="s">
        <v>61</v>
      </c>
      <c r="D40" s="29" t="s">
        <v>62</v>
      </c>
      <c r="E40" s="30" t="s">
        <v>39</v>
      </c>
      <c r="F40" s="31" t="s">
        <v>63</v>
      </c>
      <c r="G40" s="32"/>
      <c r="H40" s="29"/>
    </row>
    <row r="41" ht="30.0" customHeight="1">
      <c r="B41" s="27" t="s">
        <v>36</v>
      </c>
      <c r="C41" s="28" t="s">
        <v>64</v>
      </c>
      <c r="D41" s="29" t="s">
        <v>65</v>
      </c>
      <c r="E41" s="30" t="s">
        <v>39</v>
      </c>
      <c r="F41" s="31" t="s">
        <v>58</v>
      </c>
      <c r="G41" s="32"/>
      <c r="H41" s="29"/>
    </row>
    <row r="42" ht="30.0" customHeight="1">
      <c r="B42" s="27" t="s">
        <v>36</v>
      </c>
      <c r="C42" s="28" t="s">
        <v>66</v>
      </c>
      <c r="D42" s="29" t="s">
        <v>67</v>
      </c>
      <c r="E42" s="30" t="s">
        <v>39</v>
      </c>
      <c r="F42" s="31" t="s">
        <v>58</v>
      </c>
      <c r="G42" s="32"/>
      <c r="H42" s="29"/>
    </row>
    <row r="43" ht="30.0" customHeight="1">
      <c r="B43" s="27" t="s">
        <v>36</v>
      </c>
      <c r="C43" s="28" t="s">
        <v>68</v>
      </c>
      <c r="D43" s="29" t="s">
        <v>69</v>
      </c>
      <c r="E43" s="30" t="s">
        <v>39</v>
      </c>
      <c r="F43" s="31" t="s">
        <v>58</v>
      </c>
      <c r="G43" s="32"/>
      <c r="H43" s="29"/>
    </row>
    <row r="44" ht="30.0" customHeight="1">
      <c r="B44" s="27" t="s">
        <v>36</v>
      </c>
      <c r="C44" s="28" t="s">
        <v>70</v>
      </c>
      <c r="D44" s="29" t="s">
        <v>71</v>
      </c>
      <c r="E44" s="30" t="s">
        <v>39</v>
      </c>
      <c r="F44" s="31" t="s">
        <v>72</v>
      </c>
      <c r="G44" s="32"/>
      <c r="H44" s="29"/>
    </row>
    <row r="45" ht="15.75" customHeight="1"/>
    <row r="46" ht="24.0" customHeight="1">
      <c r="A46" s="22"/>
      <c r="B46" s="23" t="s">
        <v>73</v>
      </c>
      <c r="C46" s="24"/>
      <c r="D46" s="24"/>
      <c r="E46" s="24"/>
      <c r="F46" s="24"/>
      <c r="G46" s="24"/>
      <c r="H46" s="25"/>
    </row>
    <row r="47" ht="27.75" customHeight="1">
      <c r="B47" s="26" t="s">
        <v>74</v>
      </c>
      <c r="C47" s="24"/>
      <c r="D47" s="24"/>
      <c r="E47" s="24"/>
      <c r="F47" s="24"/>
      <c r="G47" s="24"/>
      <c r="H47" s="25"/>
    </row>
    <row r="48" ht="30.0" customHeight="1">
      <c r="B48" s="27" t="s">
        <v>36</v>
      </c>
      <c r="C48" s="28" t="s">
        <v>75</v>
      </c>
      <c r="D48" s="29" t="s">
        <v>76</v>
      </c>
      <c r="E48" s="33" t="s">
        <v>49</v>
      </c>
      <c r="F48" s="31" t="s">
        <v>50</v>
      </c>
      <c r="G48" s="32"/>
      <c r="H48" s="29"/>
    </row>
    <row r="49" ht="30.0" customHeight="1">
      <c r="B49" s="27" t="s">
        <v>36</v>
      </c>
      <c r="C49" s="28" t="s">
        <v>77</v>
      </c>
      <c r="D49" s="29" t="s">
        <v>78</v>
      </c>
      <c r="E49" s="33" t="s">
        <v>49</v>
      </c>
      <c r="F49" s="31" t="s">
        <v>50</v>
      </c>
      <c r="G49" s="32"/>
      <c r="H49" s="29"/>
    </row>
    <row r="50" ht="30.0" customHeight="1">
      <c r="B50" s="27" t="s">
        <v>36</v>
      </c>
      <c r="C50" s="28" t="s">
        <v>79</v>
      </c>
      <c r="D50" s="29" t="s">
        <v>80</v>
      </c>
      <c r="E50" s="33" t="s">
        <v>49</v>
      </c>
      <c r="F50" s="31" t="s">
        <v>81</v>
      </c>
      <c r="G50" s="32"/>
      <c r="H50" s="29"/>
    </row>
    <row r="51" ht="30.0" customHeight="1">
      <c r="B51" s="27" t="s">
        <v>36</v>
      </c>
      <c r="C51" s="28" t="s">
        <v>82</v>
      </c>
      <c r="D51" s="29" t="s">
        <v>83</v>
      </c>
      <c r="E51" s="33" t="s">
        <v>49</v>
      </c>
      <c r="F51" s="31" t="s">
        <v>84</v>
      </c>
      <c r="G51" s="32"/>
      <c r="H51" s="29"/>
    </row>
    <row r="52" ht="30.0" customHeight="1">
      <c r="B52" s="27" t="s">
        <v>36</v>
      </c>
      <c r="C52" s="28" t="s">
        <v>85</v>
      </c>
      <c r="D52" s="29" t="s">
        <v>86</v>
      </c>
      <c r="E52" s="30" t="s">
        <v>39</v>
      </c>
      <c r="F52" s="31" t="s">
        <v>58</v>
      </c>
      <c r="G52" s="32"/>
      <c r="H52" s="29"/>
    </row>
    <row r="53" ht="15.75" customHeight="1"/>
    <row r="54" ht="24.0" customHeight="1">
      <c r="A54" s="22"/>
      <c r="B54" s="23" t="s">
        <v>87</v>
      </c>
      <c r="C54" s="24"/>
      <c r="D54" s="24"/>
      <c r="E54" s="24"/>
      <c r="F54" s="24"/>
      <c r="G54" s="24"/>
      <c r="H54" s="25"/>
    </row>
    <row r="55" ht="27.75" customHeight="1">
      <c r="B55" s="26" t="s">
        <v>88</v>
      </c>
      <c r="C55" s="24"/>
      <c r="D55" s="24"/>
      <c r="E55" s="24"/>
      <c r="F55" s="24"/>
      <c r="G55" s="24"/>
      <c r="H55" s="25"/>
    </row>
    <row r="56" ht="30.0" customHeight="1">
      <c r="B56" s="27" t="s">
        <v>36</v>
      </c>
      <c r="C56" s="28" t="s">
        <v>89</v>
      </c>
      <c r="D56" s="29" t="s">
        <v>90</v>
      </c>
      <c r="E56" s="33" t="s">
        <v>49</v>
      </c>
      <c r="F56" s="31" t="s">
        <v>50</v>
      </c>
      <c r="G56" s="32"/>
      <c r="H56" s="29"/>
    </row>
    <row r="57" ht="30.0" customHeight="1">
      <c r="B57" s="27" t="s">
        <v>36</v>
      </c>
      <c r="C57" s="28" t="s">
        <v>91</v>
      </c>
      <c r="D57" s="29" t="s">
        <v>92</v>
      </c>
      <c r="E57" s="33" t="s">
        <v>49</v>
      </c>
      <c r="F57" s="31" t="s">
        <v>81</v>
      </c>
      <c r="G57" s="32"/>
      <c r="H57" s="29"/>
    </row>
    <row r="58" ht="30.0" customHeight="1">
      <c r="B58" s="27" t="s">
        <v>36</v>
      </c>
      <c r="C58" s="28" t="s">
        <v>93</v>
      </c>
      <c r="D58" s="29" t="s">
        <v>94</v>
      </c>
      <c r="E58" s="30" t="s">
        <v>39</v>
      </c>
      <c r="F58" s="31" t="s">
        <v>50</v>
      </c>
      <c r="G58" s="32"/>
      <c r="H58" s="29"/>
    </row>
    <row r="59" ht="15.75" customHeight="1"/>
    <row r="60" ht="24.0" customHeight="1">
      <c r="A60" s="22"/>
      <c r="B60" s="23" t="s">
        <v>95</v>
      </c>
      <c r="C60" s="24"/>
      <c r="D60" s="24"/>
      <c r="E60" s="24"/>
      <c r="F60" s="24"/>
      <c r="G60" s="24"/>
      <c r="H60" s="25"/>
    </row>
    <row r="61" ht="27.75" customHeight="1">
      <c r="B61" s="26" t="s">
        <v>96</v>
      </c>
      <c r="C61" s="24"/>
      <c r="D61" s="24"/>
      <c r="E61" s="24"/>
      <c r="F61" s="24"/>
      <c r="G61" s="24"/>
      <c r="H61" s="25"/>
    </row>
    <row r="62" ht="30.0" customHeight="1">
      <c r="B62" s="27" t="s">
        <v>36</v>
      </c>
      <c r="C62" s="28" t="s">
        <v>97</v>
      </c>
      <c r="D62" s="29" t="s">
        <v>98</v>
      </c>
      <c r="E62" s="33" t="s">
        <v>49</v>
      </c>
      <c r="F62" s="31" t="s">
        <v>99</v>
      </c>
      <c r="G62" s="32"/>
      <c r="H62" s="29"/>
    </row>
    <row r="63" ht="30.0" customHeight="1">
      <c r="B63" s="27" t="s">
        <v>36</v>
      </c>
      <c r="C63" s="28" t="s">
        <v>100</v>
      </c>
      <c r="D63" s="29" t="s">
        <v>101</v>
      </c>
      <c r="E63" s="33" t="s">
        <v>49</v>
      </c>
      <c r="F63" s="31" t="s">
        <v>99</v>
      </c>
      <c r="G63" s="32"/>
      <c r="H63" s="29"/>
    </row>
    <row r="64" ht="30.0" customHeight="1">
      <c r="B64" s="27" t="s">
        <v>36</v>
      </c>
      <c r="C64" s="28" t="s">
        <v>102</v>
      </c>
      <c r="D64" s="29" t="s">
        <v>103</v>
      </c>
      <c r="E64" s="33" t="s">
        <v>49</v>
      </c>
      <c r="F64" s="31" t="s">
        <v>99</v>
      </c>
      <c r="G64" s="32"/>
      <c r="H64" s="29"/>
    </row>
    <row r="65" ht="30.0" customHeight="1">
      <c r="B65" s="27" t="s">
        <v>36</v>
      </c>
      <c r="C65" s="28" t="s">
        <v>104</v>
      </c>
      <c r="D65" s="29" t="s">
        <v>105</v>
      </c>
      <c r="E65" s="33" t="s">
        <v>49</v>
      </c>
      <c r="F65" s="31" t="s">
        <v>99</v>
      </c>
      <c r="G65" s="32"/>
      <c r="H65" s="29"/>
    </row>
    <row r="66" ht="30.0" customHeight="1">
      <c r="B66" s="27" t="s">
        <v>36</v>
      </c>
      <c r="C66" s="28" t="s">
        <v>106</v>
      </c>
      <c r="D66" s="29" t="s">
        <v>107</v>
      </c>
      <c r="E66" s="33" t="s">
        <v>49</v>
      </c>
      <c r="F66" s="31" t="s">
        <v>99</v>
      </c>
      <c r="G66" s="32"/>
      <c r="H66" s="29"/>
    </row>
    <row r="67" ht="30.0" customHeight="1">
      <c r="B67" s="27" t="s">
        <v>36</v>
      </c>
      <c r="C67" s="28" t="s">
        <v>108</v>
      </c>
      <c r="D67" s="29" t="s">
        <v>109</v>
      </c>
      <c r="E67" s="33" t="s">
        <v>49</v>
      </c>
      <c r="F67" s="31" t="s">
        <v>99</v>
      </c>
      <c r="G67" s="32"/>
      <c r="H67" s="29"/>
    </row>
    <row r="68" ht="30.0" customHeight="1">
      <c r="B68" s="27" t="s">
        <v>36</v>
      </c>
      <c r="C68" s="28" t="s">
        <v>110</v>
      </c>
      <c r="D68" s="29" t="s">
        <v>111</v>
      </c>
      <c r="E68" s="33" t="s">
        <v>49</v>
      </c>
      <c r="F68" s="31" t="s">
        <v>99</v>
      </c>
      <c r="G68" s="32"/>
      <c r="H68" s="29"/>
    </row>
    <row r="69" ht="30.0" customHeight="1">
      <c r="B69" s="27" t="s">
        <v>36</v>
      </c>
      <c r="C69" s="28" t="s">
        <v>112</v>
      </c>
      <c r="D69" s="29" t="s">
        <v>113</v>
      </c>
      <c r="E69" s="33" t="s">
        <v>49</v>
      </c>
      <c r="F69" s="31" t="s">
        <v>99</v>
      </c>
      <c r="G69" s="32"/>
      <c r="H69" s="29"/>
    </row>
    <row r="70" ht="30.0" customHeight="1">
      <c r="B70" s="27" t="s">
        <v>36</v>
      </c>
      <c r="C70" s="28" t="s">
        <v>114</v>
      </c>
      <c r="D70" s="29" t="s">
        <v>115</v>
      </c>
      <c r="E70" s="33" t="s">
        <v>49</v>
      </c>
      <c r="F70" s="31" t="s">
        <v>116</v>
      </c>
      <c r="G70" s="32"/>
      <c r="H70" s="29"/>
    </row>
    <row r="71" ht="15.75" customHeight="1"/>
    <row r="72" ht="24.0" customHeight="1">
      <c r="A72" s="22"/>
      <c r="B72" s="23" t="s">
        <v>117</v>
      </c>
      <c r="C72" s="24"/>
      <c r="D72" s="24"/>
      <c r="E72" s="24"/>
      <c r="F72" s="24"/>
      <c r="G72" s="24"/>
      <c r="H72" s="25"/>
    </row>
    <row r="73" ht="27.75" customHeight="1">
      <c r="B73" s="26" t="s">
        <v>118</v>
      </c>
      <c r="C73" s="24"/>
      <c r="D73" s="24"/>
      <c r="E73" s="24"/>
      <c r="F73" s="24"/>
      <c r="G73" s="24"/>
      <c r="H73" s="25"/>
    </row>
    <row r="74" ht="30.0" customHeight="1">
      <c r="B74" s="27" t="s">
        <v>36</v>
      </c>
      <c r="C74" s="28" t="s">
        <v>119</v>
      </c>
      <c r="D74" s="29" t="s">
        <v>120</v>
      </c>
      <c r="E74" s="33" t="s">
        <v>49</v>
      </c>
      <c r="F74" s="31" t="s">
        <v>50</v>
      </c>
      <c r="G74" s="32"/>
      <c r="H74" s="29"/>
    </row>
    <row r="75" ht="30.0" customHeight="1">
      <c r="B75" s="27" t="s">
        <v>36</v>
      </c>
      <c r="C75" s="28" t="s">
        <v>121</v>
      </c>
      <c r="D75" s="29" t="s">
        <v>122</v>
      </c>
      <c r="E75" s="33" t="s">
        <v>49</v>
      </c>
      <c r="F75" s="31" t="s">
        <v>50</v>
      </c>
      <c r="G75" s="32"/>
      <c r="H75" s="29"/>
    </row>
    <row r="76" ht="30.0" customHeight="1">
      <c r="B76" s="27" t="s">
        <v>36</v>
      </c>
      <c r="C76" s="28" t="s">
        <v>123</v>
      </c>
      <c r="D76" s="29" t="s">
        <v>124</v>
      </c>
      <c r="E76" s="34" t="s">
        <v>125</v>
      </c>
      <c r="F76" s="31" t="s">
        <v>116</v>
      </c>
      <c r="G76" s="32"/>
      <c r="H76" s="29"/>
    </row>
    <row r="77" ht="30.0" customHeight="1">
      <c r="B77" s="27" t="s">
        <v>36</v>
      </c>
      <c r="C77" s="28" t="s">
        <v>126</v>
      </c>
      <c r="D77" s="29" t="s">
        <v>127</v>
      </c>
      <c r="E77" s="30" t="s">
        <v>39</v>
      </c>
      <c r="F77" s="31" t="s">
        <v>116</v>
      </c>
      <c r="G77" s="32"/>
      <c r="H77" s="29"/>
    </row>
    <row r="78" ht="15.75" customHeight="1"/>
    <row r="79" ht="24.0" customHeight="1">
      <c r="A79" s="22"/>
      <c r="B79" s="23" t="s">
        <v>128</v>
      </c>
      <c r="C79" s="24"/>
      <c r="D79" s="24"/>
      <c r="E79" s="24"/>
      <c r="F79" s="24"/>
      <c r="G79" s="24"/>
      <c r="H79" s="25"/>
    </row>
    <row r="80" ht="27.75" customHeight="1">
      <c r="B80" s="26" t="s">
        <v>129</v>
      </c>
      <c r="C80" s="24"/>
      <c r="D80" s="24"/>
      <c r="E80" s="24"/>
      <c r="F80" s="24"/>
      <c r="G80" s="24"/>
      <c r="H80" s="25"/>
    </row>
    <row r="81" ht="30.0" customHeight="1">
      <c r="B81" s="27" t="s">
        <v>36</v>
      </c>
      <c r="C81" s="28" t="s">
        <v>130</v>
      </c>
      <c r="D81" s="29" t="s">
        <v>131</v>
      </c>
      <c r="E81" s="33" t="s">
        <v>49</v>
      </c>
      <c r="F81" s="31" t="s">
        <v>132</v>
      </c>
      <c r="G81" s="32"/>
      <c r="H81" s="29"/>
    </row>
    <row r="82" ht="30.0" customHeight="1">
      <c r="B82" s="27" t="s">
        <v>36</v>
      </c>
      <c r="C82" s="28" t="s">
        <v>133</v>
      </c>
      <c r="D82" s="29" t="s">
        <v>134</v>
      </c>
      <c r="E82" s="33" t="s">
        <v>49</v>
      </c>
      <c r="F82" s="31" t="s">
        <v>135</v>
      </c>
      <c r="G82" s="32"/>
      <c r="H82" s="29"/>
    </row>
    <row r="83" ht="30.0" customHeight="1">
      <c r="B83" s="27" t="s">
        <v>36</v>
      </c>
      <c r="C83" s="28" t="s">
        <v>136</v>
      </c>
      <c r="D83" s="29" t="s">
        <v>137</v>
      </c>
      <c r="E83" s="33" t="s">
        <v>49</v>
      </c>
      <c r="F83" s="31" t="s">
        <v>135</v>
      </c>
      <c r="G83" s="32"/>
      <c r="H83" s="29"/>
    </row>
    <row r="84" ht="30.0" customHeight="1">
      <c r="B84" s="27" t="s">
        <v>36</v>
      </c>
      <c r="C84" s="28" t="s">
        <v>138</v>
      </c>
      <c r="D84" s="29" t="s">
        <v>139</v>
      </c>
      <c r="E84" s="33" t="s">
        <v>49</v>
      </c>
      <c r="F84" s="31" t="s">
        <v>140</v>
      </c>
      <c r="G84" s="32"/>
      <c r="H84" s="29"/>
    </row>
    <row r="85" ht="15.75" customHeight="1"/>
    <row r="86" ht="24.0" customHeight="1">
      <c r="A86" s="22"/>
      <c r="B86" s="23" t="s">
        <v>141</v>
      </c>
      <c r="C86" s="24"/>
      <c r="D86" s="24"/>
      <c r="E86" s="24"/>
      <c r="F86" s="24"/>
      <c r="G86" s="24"/>
      <c r="H86" s="25"/>
    </row>
    <row r="87" ht="27.75" customHeight="1">
      <c r="B87" s="26" t="s">
        <v>142</v>
      </c>
      <c r="C87" s="24"/>
      <c r="D87" s="24"/>
      <c r="E87" s="24"/>
      <c r="F87" s="24"/>
      <c r="G87" s="24"/>
      <c r="H87" s="25"/>
    </row>
    <row r="88" ht="30.0" customHeight="1">
      <c r="B88" s="27" t="s">
        <v>36</v>
      </c>
      <c r="C88" s="28" t="s">
        <v>143</v>
      </c>
      <c r="D88" s="29" t="s">
        <v>144</v>
      </c>
      <c r="E88" s="34" t="s">
        <v>125</v>
      </c>
      <c r="F88" s="31" t="s">
        <v>145</v>
      </c>
      <c r="G88" s="32"/>
      <c r="H88" s="29"/>
    </row>
    <row r="89" ht="30.0" customHeight="1">
      <c r="B89" s="27" t="s">
        <v>36</v>
      </c>
      <c r="C89" s="28" t="s">
        <v>146</v>
      </c>
      <c r="D89" s="29" t="s">
        <v>147</v>
      </c>
      <c r="E89" s="34" t="s">
        <v>125</v>
      </c>
      <c r="F89" s="31" t="s">
        <v>148</v>
      </c>
      <c r="G89" s="32"/>
      <c r="H89" s="29"/>
    </row>
    <row r="90" ht="30.0" customHeight="1">
      <c r="B90" s="27" t="s">
        <v>36</v>
      </c>
      <c r="C90" s="28" t="s">
        <v>149</v>
      </c>
      <c r="D90" s="29" t="s">
        <v>150</v>
      </c>
      <c r="E90" s="34" t="s">
        <v>125</v>
      </c>
      <c r="F90" s="31" t="s">
        <v>140</v>
      </c>
      <c r="G90" s="32"/>
      <c r="H90" s="29"/>
    </row>
    <row r="91" ht="30.0" customHeight="1">
      <c r="B91" s="27" t="s">
        <v>36</v>
      </c>
      <c r="C91" s="28" t="s">
        <v>151</v>
      </c>
      <c r="D91" s="29" t="s">
        <v>152</v>
      </c>
      <c r="E91" s="34" t="s">
        <v>125</v>
      </c>
      <c r="F91" s="31" t="s">
        <v>153</v>
      </c>
      <c r="G91" s="32"/>
      <c r="H91" s="29"/>
    </row>
    <row r="92" ht="30.0" customHeight="1">
      <c r="B92" s="27" t="s">
        <v>36</v>
      </c>
      <c r="C92" s="28" t="s">
        <v>154</v>
      </c>
      <c r="D92" s="29" t="s">
        <v>155</v>
      </c>
      <c r="E92" s="33" t="s">
        <v>49</v>
      </c>
      <c r="F92" s="31" t="s">
        <v>156</v>
      </c>
      <c r="G92" s="32"/>
      <c r="H92" s="29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F7:H7"/>
    <mergeCell ref="F8:H8"/>
    <mergeCell ref="B2:H2"/>
    <mergeCell ref="B3:H3"/>
    <mergeCell ref="B4:H4"/>
    <mergeCell ref="C6:D6"/>
    <mergeCell ref="F6:H6"/>
    <mergeCell ref="C7:D7"/>
    <mergeCell ref="C8:D8"/>
    <mergeCell ref="B11:G11"/>
    <mergeCell ref="B12:H12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B28:H28"/>
    <mergeCell ref="B29:H29"/>
    <mergeCell ref="B35:H35"/>
    <mergeCell ref="B72:H72"/>
    <mergeCell ref="B73:H73"/>
    <mergeCell ref="B79:H79"/>
    <mergeCell ref="B80:H80"/>
    <mergeCell ref="B86:H86"/>
    <mergeCell ref="B87:H87"/>
    <mergeCell ref="B36:H36"/>
    <mergeCell ref="B46:H46"/>
    <mergeCell ref="B47:H47"/>
    <mergeCell ref="B54:H54"/>
    <mergeCell ref="B55:H55"/>
    <mergeCell ref="B60:H60"/>
    <mergeCell ref="B61:H61"/>
  </mergeCells>
  <conditionalFormatting sqref="B28:B1000">
    <cfRule type="cellIs" dxfId="0" priority="1" operator="equal">
      <formula>"✅ Hecho"</formula>
    </cfRule>
  </conditionalFormatting>
  <conditionalFormatting sqref="B28:B1000">
    <cfRule type="cellIs" dxfId="1" priority="2" operator="equal">
      <formula>"🔄 En curso"</formula>
    </cfRule>
  </conditionalFormatting>
  <conditionalFormatting sqref="B28:B1000">
    <cfRule type="cellIs" dxfId="2" priority="3" operator="equal">
      <formula>"⛔ Bloqueado"</formula>
    </cfRule>
  </conditionalFormatting>
  <conditionalFormatting sqref="B28:B1000">
    <cfRule type="cellIs" dxfId="3" priority="4" operator="equal">
      <formula>"➖ N/A"</formula>
    </cfRule>
  </conditionalFormatting>
  <conditionalFormatting sqref="B28:B1000">
    <cfRule type="cellIs" dxfId="4" priority="5" operator="equal">
      <formula>"⬜ Pendiente"</formula>
    </cfRule>
  </conditionalFormatting>
  <dataValidations>
    <dataValidation type="list" allowBlank="1" sqref="B30:B33 B37:B44 B48:B52 B56:B58 B62:B70 B74:B77 B81:B84 B88:B92">
      <formula1>"⬜ Pendiente,🔄 En curso,✅ Hecho,⛔ Bloqueado,➖ 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34.0"/>
    <col customWidth="1" min="3" max="3" width="80.0"/>
    <col customWidth="1" min="4" max="26" width="8.71"/>
  </cols>
  <sheetData>
    <row r="2">
      <c r="B2" s="35" t="s">
        <v>0</v>
      </c>
    </row>
    <row r="3" ht="24.0" customHeight="1">
      <c r="B3" s="36" t="s">
        <v>157</v>
      </c>
    </row>
    <row r="5" ht="21.75" customHeight="1">
      <c r="A5" s="22"/>
      <c r="B5" s="23" t="s">
        <v>158</v>
      </c>
      <c r="C5" s="25"/>
    </row>
    <row r="6" ht="31.5" customHeight="1">
      <c r="B6" s="37" t="s">
        <v>159</v>
      </c>
      <c r="C6" s="38" t="s">
        <v>160</v>
      </c>
    </row>
    <row r="7" ht="31.5" customHeight="1">
      <c r="B7" s="37" t="s">
        <v>161</v>
      </c>
      <c r="C7" s="38" t="s">
        <v>162</v>
      </c>
    </row>
    <row r="8" ht="31.5" customHeight="1">
      <c r="B8" s="37" t="s">
        <v>163</v>
      </c>
      <c r="C8" s="38" t="s">
        <v>164</v>
      </c>
    </row>
    <row r="9" ht="31.5" customHeight="1">
      <c r="B9" s="37" t="s">
        <v>165</v>
      </c>
      <c r="C9" s="38" t="s">
        <v>166</v>
      </c>
    </row>
    <row r="11" ht="21.75" customHeight="1">
      <c r="A11" s="22"/>
      <c r="B11" s="23" t="s">
        <v>167</v>
      </c>
      <c r="C11" s="25"/>
    </row>
    <row r="12" ht="48.0" customHeight="1">
      <c r="B12" s="37" t="s">
        <v>168</v>
      </c>
      <c r="C12" s="38" t="s">
        <v>169</v>
      </c>
    </row>
    <row r="13" ht="31.5" customHeight="1">
      <c r="B13" s="37" t="s">
        <v>170</v>
      </c>
      <c r="C13" s="38" t="s">
        <v>171</v>
      </c>
    </row>
    <row r="14" ht="31.5" customHeight="1">
      <c r="B14" s="37" t="s">
        <v>172</v>
      </c>
      <c r="C14" s="38" t="s">
        <v>173</v>
      </c>
    </row>
    <row r="15" ht="31.5" customHeight="1">
      <c r="B15" s="37" t="s">
        <v>174</v>
      </c>
      <c r="C15" s="38" t="s">
        <v>175</v>
      </c>
    </row>
    <row r="16" ht="31.5" customHeight="1">
      <c r="B16" s="37" t="s">
        <v>176</v>
      </c>
      <c r="C16" s="38" t="s">
        <v>177</v>
      </c>
    </row>
    <row r="17" ht="31.5" customHeight="1">
      <c r="B17" s="37" t="s">
        <v>178</v>
      </c>
      <c r="C17" s="38" t="s">
        <v>179</v>
      </c>
    </row>
    <row r="18" ht="31.5" customHeight="1">
      <c r="B18" s="37" t="s">
        <v>180</v>
      </c>
      <c r="C18" s="38" t="s">
        <v>181</v>
      </c>
    </row>
    <row r="20" ht="21.75" customHeight="1">
      <c r="A20" s="22"/>
      <c r="B20" s="23" t="s">
        <v>182</v>
      </c>
      <c r="C20" s="25"/>
    </row>
    <row r="21" ht="31.5" customHeight="1">
      <c r="B21" s="37" t="s">
        <v>183</v>
      </c>
      <c r="C21" s="38" t="s">
        <v>184</v>
      </c>
    </row>
    <row r="22" ht="31.5" customHeight="1">
      <c r="B22" s="37" t="s">
        <v>50</v>
      </c>
      <c r="C22" s="38" t="s">
        <v>185</v>
      </c>
    </row>
    <row r="23" ht="31.5" customHeight="1">
      <c r="B23" s="37" t="s">
        <v>43</v>
      </c>
      <c r="C23" s="38" t="s">
        <v>186</v>
      </c>
    </row>
    <row r="24" ht="31.5" customHeight="1">
      <c r="B24" s="37" t="s">
        <v>116</v>
      </c>
      <c r="C24" s="38" t="s">
        <v>187</v>
      </c>
    </row>
    <row r="25" ht="31.5" customHeight="1">
      <c r="B25" s="37" t="s">
        <v>140</v>
      </c>
      <c r="C25" s="38" t="s">
        <v>188</v>
      </c>
    </row>
    <row r="26" ht="31.5" customHeight="1">
      <c r="B26" s="37" t="s">
        <v>58</v>
      </c>
      <c r="C26" s="38" t="s">
        <v>189</v>
      </c>
    </row>
    <row r="27" ht="31.5" customHeight="1">
      <c r="B27" s="37" t="s">
        <v>148</v>
      </c>
      <c r="C27" s="38" t="s">
        <v>190</v>
      </c>
    </row>
    <row r="28" ht="31.5" customHeight="1">
      <c r="B28" s="37" t="s">
        <v>135</v>
      </c>
      <c r="C28" s="38" t="s">
        <v>191</v>
      </c>
    </row>
    <row r="29" ht="31.5" customHeight="1">
      <c r="B29" s="37" t="s">
        <v>192</v>
      </c>
      <c r="C29" s="38" t="s">
        <v>193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3:C3"/>
    <mergeCell ref="B5:C5"/>
    <mergeCell ref="B11:C11"/>
    <mergeCell ref="B20:C2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2026-06-13T23:31:15Z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