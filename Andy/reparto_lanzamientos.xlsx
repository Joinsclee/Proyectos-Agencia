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par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\$#,##0;&quot;($&quot;#,##0\);\-"/>
    <numFmt numFmtId="166" formatCode="&quot;US$&quot;#,##0.00;&quot;(US$&quot;#,##0.00\);\-"/>
    <numFmt numFmtId="167" formatCode="0.0%"/>
  </numFmts>
  <fonts count="17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i val="1"/>
      <color rgb="FF595959"/>
      <sz val="9"/>
    </font>
    <font>
      <name val="Arial"/>
      <b val="1"/>
      <color rgb="FFFFFFFF"/>
      <sz val="11"/>
    </font>
    <font>
      <name val="Arial"/>
      <b val="1"/>
      <color theme="1"/>
      <sz val="10"/>
    </font>
    <font>
      <name val="Arial"/>
      <color rgb="FF0000FF"/>
      <sz val="10"/>
    </font>
    <font>
      <name val="Arial"/>
      <i val="1"/>
      <color rgb="FF808080"/>
      <sz val="9"/>
    </font>
    <font>
      <name val="Arial"/>
      <color theme="1"/>
      <sz val="10"/>
    </font>
    <font>
      <name val="Arial"/>
      <b val="1"/>
      <color rgb="FF000000"/>
      <sz val="11"/>
    </font>
    <font>
      <name val="Calibri"/>
      <color theme="1"/>
      <sz val="11"/>
    </font>
    <font>
      <name val="Arial"/>
      <b val="1"/>
      <color theme="1"/>
      <sz val="11"/>
    </font>
    <font>
      <name val="Arial"/>
      <b val="1"/>
      <color rgb="FF1F4E78"/>
      <sz val="11"/>
    </font>
    <font>
      <name val="Arial"/>
      <b val="1"/>
      <color rgb="FF1F4E78"/>
      <sz val="12"/>
    </font>
    <font>
      <name val="Arial"/>
      <b val="1"/>
      <color rgb="FF595959"/>
      <sz val="9"/>
    </font>
    <font>
      <name val="Arial"/>
      <color rgb="FF595959"/>
      <sz val="9"/>
    </font>
    <font>
      <b val="1"/>
      <color rgb="00006100"/>
    </font>
  </fonts>
  <fills count="10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7E6E6"/>
        <bgColor rgb="FFE7E6E6"/>
      </patternFill>
    </fill>
    <fill>
      <patternFill patternType="solid">
        <fgColor rgb="FFC6E0B4"/>
        <bgColor rgb="FFC6E0B4"/>
      </patternFill>
    </fill>
    <fill>
      <patternFill patternType="solid">
        <fgColor theme="0"/>
        <bgColor theme="0"/>
      </patternFill>
    </fill>
    <fill>
      <patternFill patternType="solid">
        <fgColor rgb="FFA9D08E"/>
        <bgColor rgb="FFA9D08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6" fillId="4" borderId="4" applyAlignment="1" pivotButton="0" quotePrefix="0" xfId="0">
      <alignment horizontal="right" vertical="center"/>
    </xf>
    <xf numFmtId="0" fontId="7" fillId="0" borderId="0" applyAlignment="1" pivotButton="0" quotePrefix="0" xfId="0">
      <alignment vertical="bottom"/>
    </xf>
    <xf numFmtId="0" fontId="5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left" vertical="center"/>
    </xf>
    <xf numFmtId="165" fontId="6" fillId="4" borderId="4" applyAlignment="1" pivotButton="0" quotePrefix="0" xfId="0">
      <alignment horizontal="right" vertical="center"/>
    </xf>
    <xf numFmtId="166" fontId="8" fillId="0" borderId="4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0" fontId="9" fillId="6" borderId="4" applyAlignment="1" pivotButton="0" quotePrefix="0" xfId="0">
      <alignment horizontal="left" vertical="center"/>
    </xf>
    <xf numFmtId="165" fontId="9" fillId="6" borderId="4" applyAlignment="1" pivotButton="0" quotePrefix="0" xfId="0">
      <alignment horizontal="right" vertical="center"/>
    </xf>
    <xf numFmtId="166" fontId="9" fillId="6" borderId="4" applyAlignment="1" pivotButton="0" quotePrefix="0" xfId="0">
      <alignment horizontal="right" vertical="center"/>
    </xf>
    <xf numFmtId="0" fontId="10" fillId="6" borderId="4" applyAlignment="1" pivotButton="0" quotePrefix="0" xfId="0">
      <alignment vertical="bottom"/>
    </xf>
    <xf numFmtId="0" fontId="11" fillId="5" borderId="4" applyAlignment="1" pivotButton="0" quotePrefix="0" xfId="0">
      <alignment horizontal="left" vertical="center"/>
    </xf>
    <xf numFmtId="165" fontId="11" fillId="5" borderId="4" applyAlignment="1" pivotButton="0" quotePrefix="0" xfId="0">
      <alignment horizontal="right" vertical="center"/>
    </xf>
    <xf numFmtId="166" fontId="11" fillId="5" borderId="4" applyAlignment="1" pivotButton="0" quotePrefix="0" xfId="0">
      <alignment horizontal="right" vertical="center"/>
    </xf>
    <xf numFmtId="0" fontId="10" fillId="5" borderId="4" applyAlignment="1" pivotButton="0" quotePrefix="0" xfId="0">
      <alignment vertical="bottom"/>
    </xf>
    <xf numFmtId="165" fontId="8" fillId="0" borderId="4" applyAlignment="1" pivotButton="0" quotePrefix="0" xfId="0">
      <alignment horizontal="right" vertical="center"/>
    </xf>
    <xf numFmtId="166" fontId="6" fillId="4" borderId="4" applyAlignment="1" pivotButton="0" quotePrefix="0" xfId="0">
      <alignment horizontal="right" vertical="center"/>
    </xf>
    <xf numFmtId="0" fontId="6" fillId="4" borderId="4" applyAlignment="1" pivotButton="0" quotePrefix="0" xfId="0">
      <alignment horizontal="center" vertical="center"/>
    </xf>
    <xf numFmtId="166" fontId="8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left" vertical="center"/>
    </xf>
    <xf numFmtId="165" fontId="11" fillId="7" borderId="4" applyAlignment="1" pivotButton="0" quotePrefix="0" xfId="0">
      <alignment horizontal="right" vertical="center"/>
    </xf>
    <xf numFmtId="166" fontId="11" fillId="7" borderId="4" applyAlignment="1" pivotButton="0" quotePrefix="0" xfId="0">
      <alignment horizontal="right" vertical="center"/>
    </xf>
    <xf numFmtId="0" fontId="10" fillId="0" borderId="4" applyAlignment="1" pivotButton="0" quotePrefix="0" xfId="0">
      <alignment vertical="bottom"/>
    </xf>
    <xf numFmtId="0" fontId="5" fillId="0" borderId="4" applyAlignment="1" pivotButton="0" quotePrefix="0" xfId="0">
      <alignment horizontal="left" vertical="center"/>
    </xf>
    <xf numFmtId="165" fontId="5" fillId="6" borderId="4" applyAlignment="1" pivotButton="0" quotePrefix="0" xfId="0">
      <alignment horizontal="right" vertical="center"/>
    </xf>
    <xf numFmtId="166" fontId="5" fillId="6" borderId="4" applyAlignment="1" pivotButton="0" quotePrefix="0" xfId="0">
      <alignment horizontal="right" vertical="center"/>
    </xf>
    <xf numFmtId="165" fontId="8" fillId="7" borderId="4" applyAlignment="1" pivotButton="0" quotePrefix="0" xfId="0">
      <alignment horizontal="right" vertical="center"/>
    </xf>
    <xf numFmtId="167" fontId="6" fillId="4" borderId="4" applyAlignment="1" pivotButton="0" quotePrefix="0" xfId="0">
      <alignment horizontal="center" vertical="center"/>
    </xf>
    <xf numFmtId="166" fontId="8" fillId="7" borderId="4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/>
    </xf>
    <xf numFmtId="165" fontId="8" fillId="0" borderId="4" applyAlignment="1" pivotButton="0" quotePrefix="0" xfId="0">
      <alignment horizontal="right" vertical="center"/>
    </xf>
    <xf numFmtId="166" fontId="8" fillId="8" borderId="4" applyAlignment="1" pivotButton="0" quotePrefix="0" xfId="0">
      <alignment horizontal="right" vertical="center"/>
    </xf>
    <xf numFmtId="0" fontId="11" fillId="9" borderId="4" applyAlignment="1" pivotButton="0" quotePrefix="0" xfId="0">
      <alignment horizontal="left" vertical="center"/>
    </xf>
    <xf numFmtId="165" fontId="11" fillId="9" borderId="4" applyAlignment="1" pivotButton="0" quotePrefix="0" xfId="0">
      <alignment horizontal="right" vertical="center"/>
    </xf>
    <xf numFmtId="166" fontId="11" fillId="9" borderId="4" applyAlignment="1" pivotButton="0" quotePrefix="0" xfId="0">
      <alignment horizontal="right" vertical="center"/>
    </xf>
    <xf numFmtId="0" fontId="3" fillId="9" borderId="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left" vertical="center"/>
    </xf>
    <xf numFmtId="0" fontId="12" fillId="5" borderId="5" applyAlignment="1" pivotButton="0" quotePrefix="0" xfId="0">
      <alignment horizontal="left" vertical="center"/>
    </xf>
    <xf numFmtId="0" fontId="16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ColWidth="14.43" defaultRowHeight="15" customHeight="1"/>
  <cols>
    <col width="38" customWidth="1" style="48" min="1" max="1"/>
    <col width="20" customWidth="1" style="48" min="2" max="2"/>
    <col width="18" customWidth="1" style="48" min="3" max="3"/>
    <col width="22" customWidth="1" style="48" min="4" max="4"/>
    <col width="38" customWidth="1" style="48" min="5" max="5"/>
    <col width="8.710000000000001" customWidth="1" style="48" min="6" max="26"/>
  </cols>
  <sheetData>
    <row r="1" ht="27.75" customHeight="1" s="48">
      <c r="A1" s="49" t="inlineStr">
        <is>
          <t>REPARTO LANZAMIENTOS — MENTORÍA 1:1 + VUELA</t>
        </is>
      </c>
    </row>
    <row r="2">
      <c r="A2" s="4" t="inlineStr">
        <is>
          <t>Inversiones se devuelven al dueño antes del reparto de utilidad</t>
        </is>
      </c>
    </row>
    <row r="4">
      <c r="A4" s="50" t="inlineStr">
        <is>
          <t>PARÁMETROS</t>
        </is>
      </c>
    </row>
    <row r="5">
      <c r="A5" s="6" t="inlineStr">
        <is>
          <t>TRM (COP por USD)</t>
        </is>
      </c>
      <c r="B5" s="7" t="n">
        <v>3706.44</v>
      </c>
      <c r="C5" s="8" t="inlineStr">
        <is>
          <t>← edita</t>
        </is>
      </c>
    </row>
    <row r="7">
      <c r="A7" s="50" t="inlineStr">
        <is>
          <t>MENTORÍA 1:1</t>
        </is>
      </c>
    </row>
    <row r="8">
      <c r="A8" s="9" t="inlineStr">
        <is>
          <t>Cliente</t>
        </is>
      </c>
      <c r="B8" s="9" t="inlineStr">
        <is>
          <t>Monto (COP)</t>
        </is>
      </c>
      <c r="C8" s="9" t="n"/>
      <c r="D8" s="9" t="inlineStr">
        <is>
          <t>Monto (USD)</t>
        </is>
      </c>
      <c r="E8" s="9" t="inlineStr">
        <is>
          <t>Notas</t>
        </is>
      </c>
    </row>
    <row r="9">
      <c r="A9" s="10" t="inlineStr">
        <is>
          <t>S.O</t>
        </is>
      </c>
      <c r="B9" s="11" t="n">
        <v>4500000</v>
      </c>
      <c r="D9" s="25">
        <f>B9/$B$5</f>
        <v/>
      </c>
      <c r="E9" s="13" t="n"/>
    </row>
    <row r="10">
      <c r="A10" s="10" t="inlineStr">
        <is>
          <t>C.V</t>
        </is>
      </c>
      <c r="B10" s="11" t="n">
        <v>4295456</v>
      </c>
      <c r="D10" s="25">
        <f>B10/$B$5</f>
        <v/>
      </c>
      <c r="E10" s="13" t="n"/>
    </row>
    <row r="11">
      <c r="A11" s="14" t="inlineStr">
        <is>
          <t>Subtotal Mentoría</t>
        </is>
      </c>
      <c r="B11" s="15">
        <f>SUM(B9:B10)</f>
        <v/>
      </c>
      <c r="D11" s="16">
        <f>B11/$B$5</f>
        <v/>
      </c>
      <c r="E11" s="17" t="n"/>
    </row>
    <row r="13">
      <c r="A13" s="50" t="inlineStr">
        <is>
          <t>VUELA</t>
        </is>
      </c>
    </row>
    <row r="14">
      <c r="A14" s="9" t="inlineStr">
        <is>
          <t>Cliente</t>
        </is>
      </c>
      <c r="B14" s="9" t="inlineStr">
        <is>
          <t>Monto (COP)</t>
        </is>
      </c>
      <c r="C14" s="9" t="n"/>
      <c r="D14" s="9" t="inlineStr">
        <is>
          <t>Monto (USD)</t>
        </is>
      </c>
      <c r="E14" s="9" t="inlineStr">
        <is>
          <t>Notas</t>
        </is>
      </c>
    </row>
    <row r="15">
      <c r="A15" s="10" t="inlineStr">
        <is>
          <t>C y N</t>
        </is>
      </c>
      <c r="B15" s="11" t="n">
        <v>7230000</v>
      </c>
      <c r="D15" s="25">
        <f>B15/$B$5</f>
        <v/>
      </c>
      <c r="E15" s="13" t="n"/>
    </row>
    <row r="16">
      <c r="A16" s="10" t="inlineStr">
        <is>
          <t>Pablo</t>
        </is>
      </c>
      <c r="B16" s="11" t="n">
        <v>6841150</v>
      </c>
      <c r="D16" s="25">
        <f>B16/$B$5</f>
        <v/>
      </c>
      <c r="E16" s="13" t="n"/>
    </row>
    <row r="17">
      <c r="A17" s="10" t="inlineStr">
        <is>
          <t>D.E</t>
        </is>
      </c>
      <c r="B17" s="11" t="n">
        <v>6818942</v>
      </c>
      <c r="D17" s="25">
        <f>B17/$B$5</f>
        <v/>
      </c>
      <c r="E17" s="13" t="n"/>
    </row>
    <row r="18">
      <c r="A18" s="10" t="inlineStr">
        <is>
          <t>Paula H</t>
        </is>
      </c>
      <c r="B18" s="11" t="n">
        <v>726600</v>
      </c>
      <c r="D18" s="25">
        <f>B18/$B$5</f>
        <v/>
      </c>
      <c r="E18" s="13" t="inlineStr">
        <is>
          <t>Pisó</t>
        </is>
      </c>
    </row>
    <row r="19">
      <c r="A19" s="10" t="inlineStr">
        <is>
          <t>Eli</t>
        </is>
      </c>
      <c r="B19" s="11" t="n">
        <v>3610314</v>
      </c>
      <c r="D19" s="25">
        <f>B19/$B$5</f>
        <v/>
      </c>
      <c r="E19" s="13" t="n"/>
    </row>
    <row r="20">
      <c r="A20" s="10" t="inlineStr">
        <is>
          <t>D.P</t>
        </is>
      </c>
      <c r="B20" s="11" t="n">
        <v>1572492</v>
      </c>
      <c r="D20" s="25">
        <f>B20/$B$5</f>
        <v/>
      </c>
      <c r="E20" s="13" t="n"/>
    </row>
    <row r="21" ht="15.75" customHeight="1" s="48">
      <c r="A21" s="14" t="inlineStr">
        <is>
          <t>Subtotal Vuela</t>
        </is>
      </c>
      <c r="B21" s="15">
        <f>SUM(B15:B20)</f>
        <v/>
      </c>
      <c r="D21" s="16">
        <f>B21/$B$5</f>
        <v/>
      </c>
      <c r="E21" s="17" t="n"/>
    </row>
    <row r="22" ht="15.75" customHeight="1" s="48"/>
    <row r="23" ht="15.75" customHeight="1" s="48">
      <c r="A23" s="18" t="inlineStr">
        <is>
          <t>TOTAL BRUTO (Mentoría + Vuela)</t>
        </is>
      </c>
      <c r="B23" s="19">
        <f>$B$11+$B$21</f>
        <v/>
      </c>
      <c r="D23" s="20">
        <f>B23/$B$5</f>
        <v/>
      </c>
      <c r="E23" s="21" t="n"/>
    </row>
    <row r="24" ht="15.75" customHeight="1" s="48"/>
    <row r="25" ht="15.75" customHeight="1" s="48">
      <c r="A25" s="50" t="inlineStr">
        <is>
          <t>INVERSIONES (se devuelven a quien las puso)</t>
        </is>
      </c>
    </row>
    <row r="26" ht="15.75" customHeight="1" s="48">
      <c r="A26" s="9" t="inlineStr">
        <is>
          <t>Concepto</t>
        </is>
      </c>
      <c r="B26" s="9" t="inlineStr">
        <is>
          <t>Monto (COP)</t>
        </is>
      </c>
      <c r="C26" s="9" t="inlineStr">
        <is>
          <t>Monto (USD)</t>
        </is>
      </c>
      <c r="D26" s="9" t="inlineStr">
        <is>
          <t>Aplica a</t>
        </is>
      </c>
      <c r="E26" s="9" t="inlineStr">
        <is>
          <t>Notas</t>
        </is>
      </c>
    </row>
    <row r="27" ht="15.75" customHeight="1" s="48">
      <c r="A27" s="10" t="inlineStr">
        <is>
          <t>Inversión Cristhian (ads + edición)</t>
        </is>
      </c>
      <c r="B27" s="37">
        <f>C27*$B$5</f>
        <v/>
      </c>
      <c r="C27" s="23" t="n">
        <v>1060</v>
      </c>
      <c r="D27" s="24" t="inlineStr">
        <is>
          <t>Vuela</t>
        </is>
      </c>
      <c r="E27" s="13" t="inlineStr">
        <is>
          <t>Edita USD. "Aplica a": Vuela / Mentoría / Ambos</t>
        </is>
      </c>
    </row>
    <row r="28" ht="15.75" customHeight="1" s="48">
      <c r="A28" s="10" t="inlineStr">
        <is>
          <t>Inversión Andy (pauta)</t>
        </is>
      </c>
      <c r="B28" s="11">
        <f>C28*$B$5</f>
        <v/>
      </c>
      <c r="C28" s="25" t="n">
        <v>1233</v>
      </c>
      <c r="D28" s="24" t="inlineStr">
        <is>
          <t>Vuela</t>
        </is>
      </c>
      <c r="E28" s="13" t="inlineStr">
        <is>
          <t>Edita USD. "Aplica a": Vuela / Mentoría / Ambos</t>
        </is>
      </c>
    </row>
    <row r="29" ht="15.75" customHeight="1" s="48">
      <c r="A29" s="14" t="inlineStr">
        <is>
          <t>Total inversiones</t>
        </is>
      </c>
      <c r="B29" s="15">
        <f>$B$27+$B$28</f>
        <v/>
      </c>
      <c r="C29" s="16">
        <f>B29/$B$5</f>
        <v/>
      </c>
      <c r="D29" s="17" t="n"/>
      <c r="E29" s="17" t="n"/>
    </row>
    <row r="30" ht="15.75" customHeight="1" s="48"/>
    <row r="31" ht="15.75" customHeight="1" s="48">
      <c r="A31" s="50" t="inlineStr">
        <is>
          <t>UTILIDAD A REPARTIR (Bruto − Inversiones)</t>
        </is>
      </c>
    </row>
    <row r="32" ht="15.75" customHeight="1" s="48">
      <c r="A32" s="26" t="inlineStr">
        <is>
          <t>Utilidad total</t>
        </is>
      </c>
      <c r="B32" s="27">
        <f>$B$23-$B$27-$B$28</f>
        <v/>
      </c>
      <c r="D32" s="28">
        <f>B32/$B$5</f>
        <v/>
      </c>
      <c r="E32" s="29" t="n"/>
    </row>
    <row r="33" ht="15.75" customHeight="1" s="48"/>
    <row r="34" ht="15.75" customHeight="1" s="48">
      <c r="A34" s="50" t="inlineStr">
        <is>
          <t>REPARTO MENTORÍA 1:1 — 70% Andy / 30% Cristhian</t>
        </is>
      </c>
    </row>
    <row r="35" ht="15.75" customHeight="1" s="48">
      <c r="A35" s="30" t="inlineStr">
        <is>
          <t>Utilidad Mentoría (después de inversiones que aplican)</t>
        </is>
      </c>
      <c r="B35" s="31">
        <f>$B$11-IF(OR($D$27="Mentoría",$D$27="Ambos"),IF($D$27="Ambos",$B$27*($B$11/$B$23),$B$27),0)-IF(OR($D$28="Mentoría",$D$28="Ambos"),IF($D$28="Ambos",$B$28*($B$11/$B$23),$B$28),0)</f>
        <v/>
      </c>
      <c r="D35" s="32">
        <f>B35/$B$5</f>
        <v/>
      </c>
      <c r="E35" s="17" t="n"/>
    </row>
    <row r="36" ht="15.75" customHeight="1" s="48">
      <c r="A36" s="10" t="inlineStr">
        <is>
          <t xml:space="preserve">  Andy</t>
        </is>
      </c>
      <c r="B36" s="33">
        <f>$B$35*$C$36</f>
        <v/>
      </c>
      <c r="C36" s="34" t="n">
        <v>0.7</v>
      </c>
      <c r="D36" s="35">
        <f>B36/$B$5</f>
        <v/>
      </c>
      <c r="E36" s="13" t="inlineStr">
        <is>
          <t>70% utilidad Mentoría</t>
        </is>
      </c>
    </row>
    <row r="37" ht="15.75" customHeight="1" s="48">
      <c r="A37" s="10" t="inlineStr">
        <is>
          <t xml:space="preserve">  Cristhian</t>
        </is>
      </c>
      <c r="B37" s="33">
        <f>$B$35*$C$37</f>
        <v/>
      </c>
      <c r="C37" s="34">
        <f>1-$C$36</f>
        <v/>
      </c>
      <c r="D37" s="35">
        <f>B37/$B$5</f>
        <v/>
      </c>
      <c r="E37" s="13" t="inlineStr">
        <is>
          <t>30% utilidad Mentoría</t>
        </is>
      </c>
    </row>
    <row r="38" ht="15.75" customHeight="1" s="48"/>
    <row r="39" ht="15.75" customHeight="1" s="48">
      <c r="A39" s="50" t="inlineStr">
        <is>
          <t>REPARTO VUELA — 50% Andy / 50% Cristhian</t>
        </is>
      </c>
    </row>
    <row r="40" ht="15.75" customHeight="1" s="48">
      <c r="A40" s="30" t="inlineStr">
        <is>
          <t>Utilidad Vuela (después de inversiones que aplican)</t>
        </is>
      </c>
      <c r="B40" s="31">
        <f>$B$21-IF(OR($D$27="Vuela",$D$27="Ambos"),IF($D$27="Ambos",$B$27*($B$21/$B$23),$B$27),0)-IF(OR($D$28="Vuela",$D$28="Ambos"),IF($D$28="Ambos",$B$28*($B$21/$B$23),$B$28),0)</f>
        <v/>
      </c>
      <c r="D40" s="32">
        <f>B40/$B$5</f>
        <v/>
      </c>
      <c r="E40" s="17" t="n"/>
    </row>
    <row r="41" ht="15.75" customHeight="1" s="48">
      <c r="A41" s="10" t="inlineStr">
        <is>
          <t xml:space="preserve">  Andy</t>
        </is>
      </c>
      <c r="B41" s="33">
        <f>$B$40*$C$41</f>
        <v/>
      </c>
      <c r="C41" s="34" t="n">
        <v>0.5</v>
      </c>
      <c r="D41" s="35">
        <f>B41/$B$5</f>
        <v/>
      </c>
      <c r="E41" s="13" t="inlineStr">
        <is>
          <t>50% utilidad Vuela</t>
        </is>
      </c>
    </row>
    <row r="42" ht="15.75" customHeight="1" s="48">
      <c r="A42" s="10" t="inlineStr">
        <is>
          <t xml:space="preserve">  Cristhian</t>
        </is>
      </c>
      <c r="B42" s="33">
        <f>$B$40*$C$42</f>
        <v/>
      </c>
      <c r="C42" s="34">
        <f>1-$C$41</f>
        <v/>
      </c>
      <c r="D42" s="35">
        <f>B42/$B$5</f>
        <v/>
      </c>
      <c r="E42" s="13" t="inlineStr">
        <is>
          <t>50% utilidad Vuela</t>
        </is>
      </c>
    </row>
    <row r="43" ht="15.75" customHeight="1" s="48"/>
    <row r="44" ht="15.75" customHeight="1" s="48">
      <c r="A44" s="50" t="inlineStr">
        <is>
          <t>RESUMEN FINAL POR PERSONA (utilidad + devolución de inversión)</t>
        </is>
      </c>
    </row>
    <row r="45" ht="15.75" customHeight="1" s="48">
      <c r="A45" s="9" t="inlineStr">
        <is>
          <t>Concepto</t>
        </is>
      </c>
      <c r="B45" s="9" t="inlineStr">
        <is>
          <t>COP</t>
        </is>
      </c>
      <c r="C45" s="9" t="n"/>
      <c r="D45" s="9" t="inlineStr">
        <is>
          <t>USD</t>
        </is>
      </c>
      <c r="E45" s="9" t="inlineStr">
        <is>
          <t>Detalle</t>
        </is>
      </c>
    </row>
    <row r="46" ht="15.75" customHeight="1" s="48">
      <c r="A46" s="51" t="inlineStr">
        <is>
          <t>ANDY</t>
        </is>
      </c>
    </row>
    <row r="47" ht="15.75" customHeight="1" s="48">
      <c r="A47" s="10" t="inlineStr">
        <is>
          <t xml:space="preserve">  Utilidad Mentoría (70%)</t>
        </is>
      </c>
      <c r="B47" s="37">
        <f>$B$36</f>
        <v/>
      </c>
      <c r="D47" s="25">
        <f>B47/$B$5</f>
        <v/>
      </c>
      <c r="E47" s="29" t="n"/>
    </row>
    <row r="48" ht="15.75" customHeight="1" s="48">
      <c r="A48" s="10" t="inlineStr">
        <is>
          <t xml:space="preserve">  Utilidad Vuela (50%)</t>
        </is>
      </c>
      <c r="B48" s="37">
        <f>$B$41</f>
        <v/>
      </c>
      <c r="D48" s="25">
        <f>B48/$B$5</f>
        <v/>
      </c>
      <c r="E48" s="29" t="n"/>
    </row>
    <row r="49" ht="15.75" customHeight="1" s="48">
      <c r="A49" s="10" t="inlineStr">
        <is>
          <t xml:space="preserve">  + Devolución inversión Andy</t>
        </is>
      </c>
      <c r="B49" s="37">
        <f>B28</f>
        <v/>
      </c>
      <c r="D49" s="38">
        <f>B49/$B$5</f>
        <v/>
      </c>
      <c r="E49" s="13" t="inlineStr">
        <is>
          <t>Le devuelven lo que invirtió</t>
        </is>
      </c>
    </row>
    <row r="50" ht="15.75" customHeight="1" s="48">
      <c r="A50" s="39" t="inlineStr">
        <is>
          <t xml:space="preserve">  TOTAL ANDY</t>
        </is>
      </c>
      <c r="B50" s="40">
        <f>$B$36+$B$41+$B$28</f>
        <v/>
      </c>
      <c r="D50" s="41">
        <f>B50/$B$5</f>
        <v/>
      </c>
      <c r="E50" s="42" t="inlineStr">
        <is>
          <t>Utilidad + inversión devuelta</t>
        </is>
      </c>
    </row>
    <row r="51" ht="15.75" customHeight="1" s="48"/>
    <row r="52" ht="15.75" customHeight="1" s="48">
      <c r="A52" s="51" t="inlineStr">
        <is>
          <t>CRISTHIAN</t>
        </is>
      </c>
    </row>
    <row r="53" ht="15.75" customHeight="1" s="48">
      <c r="A53" s="10" t="inlineStr">
        <is>
          <t xml:space="preserve">  Utilidad Mentoría (30%)</t>
        </is>
      </c>
      <c r="B53" s="37">
        <f>$B$37</f>
        <v/>
      </c>
      <c r="D53" s="25">
        <f>B53/$B$5</f>
        <v/>
      </c>
      <c r="E53" s="29" t="n"/>
    </row>
    <row r="54" ht="15.75" customHeight="1" s="48">
      <c r="A54" s="10" t="inlineStr">
        <is>
          <t xml:space="preserve">  Utilidad Vuela (50%)</t>
        </is>
      </c>
      <c r="B54" s="37">
        <f>$B$42</f>
        <v/>
      </c>
      <c r="D54" s="25">
        <f>B54/$B$5</f>
        <v/>
      </c>
      <c r="E54" s="29" t="n"/>
    </row>
    <row r="55" ht="15.75" customHeight="1" s="48">
      <c r="A55" s="10" t="inlineStr">
        <is>
          <t xml:space="preserve">  + Devolución inversión Cristhian</t>
        </is>
      </c>
      <c r="B55" s="37">
        <f>$B$27</f>
        <v/>
      </c>
      <c r="D55" s="25">
        <f>B55/$B$5</f>
        <v/>
      </c>
      <c r="E55" s="13" t="inlineStr">
        <is>
          <t>Le devuelven lo que invirtió</t>
        </is>
      </c>
    </row>
    <row r="56" ht="15.75" customHeight="1" s="48">
      <c r="A56" s="39" t="inlineStr">
        <is>
          <t xml:space="preserve">  TOTAL CRISTHIAN</t>
        </is>
      </c>
      <c r="B56" s="40">
        <f>$B$37+$B$42+$B$27</f>
        <v/>
      </c>
      <c r="D56" s="41">
        <f>B56/$B$5</f>
        <v/>
      </c>
      <c r="E56" s="42" t="inlineStr">
        <is>
          <t>Utilidad + inversión devuelta</t>
        </is>
      </c>
    </row>
    <row r="57" ht="15.75" customHeight="1" s="48"/>
    <row r="58" ht="15.75" customHeight="1" s="48">
      <c r="A58" s="43" t="inlineStr">
        <is>
          <t>Verificación: Andy + Cristhian (debe = Total Bruto)</t>
        </is>
      </c>
      <c r="B58" s="44">
        <f>$B$50+$B$56</f>
        <v/>
      </c>
      <c r="C58" s="52">
        <f>IF(ROUND($B$58-$B$23,2)=0,"✓ CUADRA","✗ DIFERENCIA: "&amp;TEXT($B$58-$B$23,"#,##0"))</f>
        <v/>
      </c>
    </row>
    <row r="59" ht="15.75" customHeight="1" s="48"/>
    <row r="60" ht="15.75" customHeight="1" s="48">
      <c r="A60" s="45" t="inlineStr">
        <is>
          <t>LEYENDA</t>
        </is>
      </c>
    </row>
    <row r="61" ht="15.75" customHeight="1" s="48">
      <c r="A61" s="46" t="inlineStr">
        <is>
          <t>🟡 Amarillo + texto azul</t>
        </is>
      </c>
      <c r="B61" s="47" t="inlineStr">
        <is>
          <t>Celdas editables (TRM, montos, inversiones, %)</t>
        </is>
      </c>
    </row>
    <row r="62" ht="15.75" customHeight="1" s="48">
      <c r="A62" s="46" t="inlineStr">
        <is>
          <t>🟢 Verde claro</t>
        </is>
      </c>
      <c r="B62" s="47" t="inlineStr">
        <is>
          <t>Resultado de utilidad (parte del beneficio)</t>
        </is>
      </c>
    </row>
    <row r="63" ht="15.75" customHeight="1" s="48">
      <c r="A63" s="46" t="inlineStr">
        <is>
          <t>🟢 Verde oscuro</t>
        </is>
      </c>
      <c r="B63" s="47" t="inlineStr">
        <is>
          <t>Total final de cada persona (utilidad + inversión devuelta)</t>
        </is>
      </c>
    </row>
    <row r="64" ht="15.75" customHeight="1" s="48">
      <c r="A64" s="46" t="inlineStr">
        <is>
          <t>Inversión</t>
        </is>
      </c>
      <c r="B64" s="47" t="inlineStr">
        <is>
          <t>Plata que cada uno puso de su bolsillo. Se la devuelven completa.</t>
        </is>
      </c>
    </row>
    <row r="65" ht="15.75" customHeight="1" s="48">
      <c r="A65" s="46" t="inlineStr">
        <is>
          <t>Utilidad</t>
        </is>
      </c>
      <c r="B65" s="47" t="inlineStr">
        <is>
          <t>Lo que queda después de devolver inversiones. Eso sí se reparte por %.</t>
        </is>
      </c>
    </row>
    <row r="66" ht="15.75" customHeight="1" s="48">
      <c r="A66" s="46" t="inlineStr">
        <is>
          <t>Aplica a</t>
        </is>
      </c>
      <c r="B66" s="47" t="inlineStr">
        <is>
          <t>Define a qué proyecto pertenece la inversión: Vuela / Mentoría / Ambos</t>
        </is>
      </c>
    </row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9">
    <mergeCell ref="A39:E39"/>
    <mergeCell ref="A34:E34"/>
    <mergeCell ref="B65:E65"/>
    <mergeCell ref="A60:E60"/>
    <mergeCell ref="B64:E64"/>
    <mergeCell ref="A1:E1"/>
    <mergeCell ref="B63:E63"/>
    <mergeCell ref="A7:E7"/>
    <mergeCell ref="A25:E25"/>
    <mergeCell ref="B62:E62"/>
    <mergeCell ref="A46:E46"/>
    <mergeCell ref="B66:E66"/>
    <mergeCell ref="A2:E2"/>
    <mergeCell ref="B61:E61"/>
    <mergeCell ref="A4:E4"/>
    <mergeCell ref="A52:E52"/>
    <mergeCell ref="A13:E13"/>
    <mergeCell ref="A31:E31"/>
    <mergeCell ref="A44:E44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2026-05-08T00:30:13Z</dcterms:created>
  <dcterms:modified xsi:type="dcterms:W3CDTF">2026-05-12T15:50:13Z</dcterms:modified>
</cp:coreProperties>
</file>